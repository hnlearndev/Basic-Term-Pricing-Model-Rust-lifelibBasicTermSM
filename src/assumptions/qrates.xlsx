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j\act\src\assumptions\"/>
    </mc:Choice>
  </mc:AlternateContent>
  <xr:revisionPtr revIDLastSave="0" documentId="13_ncr:1_{A6798DBA-9AD4-460F-AF7A-3E2247A209B7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Q-Rates" sheetId="6" r:id="rId1"/>
    <sheet name="RI" sheetId="2" r:id="rId2"/>
    <sheet name="mort" sheetId="14" r:id="rId3"/>
    <sheet name="acq_exp" sheetId="16" r:id="rId4"/>
    <sheet name="mtn_exp" sheetId="17" r:id="rId5"/>
    <sheet name="lapse" sheetId="15" r:id="rId6"/>
  </sheets>
  <externalReferences>
    <externalReference r:id="rId7"/>
  </externalReferences>
  <definedNames>
    <definedName name="_BDo1">[1]Summary!$AN$18:$AN$120</definedName>
    <definedName name="_BDo2">[1]Summary!$AO$18:$AO$120</definedName>
    <definedName name="_RBO1">[1]Summary!$X$18:$X$120</definedName>
    <definedName name="_RBO2">[1]Summary!$Y$18:$Y$120</definedName>
    <definedName name="_TBO1">[1]Summary!$AU$18:$AU$120</definedName>
    <definedName name="_TBO2">[1]Summary!$AV$18:$AV$120</definedName>
    <definedName name="ä">[1]Reserves!$EG$19</definedName>
    <definedName name="AccumEstateEnd">[1]ProfitTest!$AW$6</definedName>
    <definedName name="AddRsv">[1]NegProfitRes!$CH$18:$CH$120</definedName>
    <definedName name="äFPT">[1]Reserves!$EG$20</definedName>
    <definedName name="äFPTSurrVal">[1]Reserves!$FX$20</definedName>
    <definedName name="Age">[1]Basic!$C$4</definedName>
    <definedName name="äSurrVal">[1]Reserves!$FX$19</definedName>
    <definedName name="Avg_Exp">[1]Basic!$C$59</definedName>
    <definedName name="AvgExpChoice">[1]Basic!$C$58</definedName>
    <definedName name="AxtDDRsv">[1]Reserves!$EB$18:$EB$120</definedName>
    <definedName name="AxtDeathRsv">[1]Reserves!$DZ$18:$DZ$120</definedName>
    <definedName name="AxtDeathSurrVal">[1]Reserves!$FP$18:$FP$120</definedName>
    <definedName name="AxtMixed">[1]Reserves!$FV$18:$FV$120</definedName>
    <definedName name="AxtO1Rsv">[1]Reserves!$EC$18:$EC$120</definedName>
    <definedName name="AxtO2Rsv">[1]Reserves!$FT$18:$FT$120</definedName>
    <definedName name="äxtRsv">[1]Reserves!$EG$19:$EG$120</definedName>
    <definedName name="äxtSurrVal">[1]Reserves!$FX$19:$FX$120</definedName>
    <definedName name="AxtTPDRsv">[1]Reserves!$EA$18:$EA$120</definedName>
    <definedName name="BDDD">[1]Summary!$AM$18:$AM$120</definedName>
    <definedName name="BDDeath">[1]Summary!$AK$18:$AK$120</definedName>
    <definedName name="BDMaturity">[1]Summary!$AP$18:$AP$120</definedName>
    <definedName name="BDSurrender">[1]Summary!$AQ$18:$AQ$120</definedName>
    <definedName name="BDTPD">[1]Summary!$AL$18:$AL$120</definedName>
    <definedName name="BIPSPremium">[1]BIPS!$D$10</definedName>
    <definedName name="BIPSSumAssured">[1]BIPS!$D$7</definedName>
    <definedName name="Bonus_Table">[1]Advanced!$EP$6:$FS$125</definedName>
    <definedName name="BreakevenYr">[1]Yield!$K$15</definedName>
    <definedName name="CashBonus">[1]Summary!$T$18:$T$120</definedName>
    <definedName name="ClmO1_Sens">[1]SENSI!$C$13</definedName>
    <definedName name="ClmO2_Sens">[1]SENSI!$C$14</definedName>
    <definedName name="Clms_Ben">[1]Advanced!$ED$6:$EN$125</definedName>
    <definedName name="Commission">[1]Summary!$D$18:$D$120</definedName>
    <definedName name="CurrentAge">[1]Summary!$B$18:$B$120</definedName>
    <definedName name="D_Dec">[1]Basic!$E$105</definedName>
    <definedName name="DD_Dec">[1]Basic!$E$107</definedName>
    <definedName name="DD_Sense">[1]SENSI!$C$12</definedName>
    <definedName name="DD_Sts">[1]Basic!$C$13</definedName>
    <definedName name="Dth_Sts">[1]Basic!$C$9</definedName>
    <definedName name="EV">[1]ProfitTest!$AT$15</definedName>
    <definedName name="EV_End">[1]ProfitTest!$AT$6</definedName>
    <definedName name="Exp_Sens">[1]SENSI!$C$15</definedName>
    <definedName name="GPVAB">[1]Reserves!$K$18:$K$120</definedName>
    <definedName name="GPVBB">[1]Reserves!$J$18:$J$120</definedName>
    <definedName name="GPVSA">[1]Reserves!$I$18:$I$120</definedName>
    <definedName name="GrossPremium">[1]Summary!$C$18:$C$120</definedName>
    <definedName name="Infl">[1]Basic!$C$56</definedName>
    <definedName name="Infl_St">[1]Basic!$C$57</definedName>
    <definedName name="Init_DD">[1]Advanced!$EI$6</definedName>
    <definedName name="Init_O1">[1]Advanced!$EK$6</definedName>
    <definedName name="Init_O2">[1]Advanced!$EM$6</definedName>
    <definedName name="init_sa">[1]Advanced!$EE$6</definedName>
    <definedName name="Init_TPD">[1]Advanced!$EG$6</definedName>
    <definedName name="InitExp_Pm">[1]Basic!$C$53</definedName>
    <definedName name="InitExp_PP">[1]Basic!$C$54</definedName>
    <definedName name="InterestDeposit">[1]Yield!$Q$15</definedName>
    <definedName name="Inv_Sens">[1]SENSI!$C$8</definedName>
    <definedName name="Inv_Tax">[1]Basic!$C$64</definedName>
    <definedName name="Inv_Tax_Flr">[1]Basic!$C$62</definedName>
    <definedName name="Invest_Ret">[1]Adj!$C$6:$H$125</definedName>
    <definedName name="InvTax_Segg">[1]Basic!$C$61</definedName>
    <definedName name="Lapse_Choice">[1]Basic!$D$110</definedName>
    <definedName name="Lapse_Input">'Q-Rates'!$AO$8:$AT$128</definedName>
    <definedName name="Lapse_Sens">[1]SENSI!$C$10</definedName>
    <definedName name="Lapse_Table">'Q-Rates'!$AV$8:$BA$128</definedName>
    <definedName name="Life">[1]Basic!$C$5</definedName>
    <definedName name="Maint_Exp">[1]Adj!$J$6:$L$125</definedName>
    <definedName name="Mat_Base">[1]Basic!$C$47</definedName>
    <definedName name="ME_Pm">[1]Summary!$F$18:$F$120</definedName>
    <definedName name="ME_PP">[1]Summary!$E$18:$E$120</definedName>
    <definedName name="MinPremium">[1]Reserves!$E$9</definedName>
    <definedName name="MinPremiumSurrVal">[1]Reserves!$N$9</definedName>
    <definedName name="Mort_Sense">[1]SENSI!$C$11</definedName>
    <definedName name="NBTWP">[1]ProfitTest!$AR$2</definedName>
    <definedName name="Neg_Estate">[1]Basic!$C$33</definedName>
    <definedName name="NegFutProfit">[1]Basic!$C$81</definedName>
    <definedName name="O1_Dec">[1]Basic!$E$108</definedName>
    <definedName name="O1_Sts">[1]Basic!$C$15</definedName>
    <definedName name="O2_Dec">[1]Basic!$E$109</definedName>
    <definedName name="O2_Sts">[1]Basic!$C$17</definedName>
    <definedName name="Other1">[1]Basic!$B$15</definedName>
    <definedName name="Other2">[1]Basic!$B$17</definedName>
    <definedName name="PADExpense">[1]Basic!$C$87</definedName>
    <definedName name="PADExpenseLC1">[1]Basic!$C$92</definedName>
    <definedName name="PADLapse">[1]Basic!$C$85</definedName>
    <definedName name="PADLapseLC1">[1]Basic!$C$90</definedName>
    <definedName name="ParSts">[1]Basic!$C$32</definedName>
    <definedName name="PH_Deposit_End">[1]Yield!$R$14</definedName>
    <definedName name="PH_End">[1]Yield!$J$14</definedName>
    <definedName name="PH_TAX">[1]Basic!$C$68</definedName>
    <definedName name="PHYield20">[1]Yield!$J$38</definedName>
    <definedName name="PHYield20D">[1]Yield!$R$38</definedName>
    <definedName name="PHYield5">[1]Yield!$J$23</definedName>
    <definedName name="PHYield5D">[1]Yield!$R$23</definedName>
    <definedName name="Plan_Code">[1]Basic!$C$27</definedName>
    <definedName name="Plan_Type">[1]Basic!$C$28</definedName>
    <definedName name="PolicyTerm">[1]Basic!$C$29</definedName>
    <definedName name="Prem_Table">[1]Advanced!$FU$6:$GE$125</definedName>
    <definedName name="Premium">[1]Basic!$C$20</definedName>
    <definedName name="PremiumTerm">[1]Basic!$C$30</definedName>
    <definedName name="Profit_Tax">[1]Basic!$C$65</definedName>
    <definedName name="Profit_Tax_Flr">[1]Basic!$C$63</definedName>
    <definedName name="Profit_Tax_Yr">[1]Basic!$C$70</definedName>
    <definedName name="PVBenefit">[1]Reserves!$AD$19</definedName>
    <definedName name="PVBenefitFPT">[1]Reserves!$AD$20</definedName>
    <definedName name="PVBenefitFPTSurrVal">[1]Reserves!$DG$20</definedName>
    <definedName name="PVBenefitSurrVal">[1]Reserves!$DG$19</definedName>
    <definedName name="PxtGPVRsv">[1]Reserves!$EO$18:$EO$120</definedName>
    <definedName name="PxtLC1">[1]Reserves!$FE$18:$FE$120</definedName>
    <definedName name="PxtRsv">[1]Reserves!$DX$18:$DX$120</definedName>
    <definedName name="PxtSurrVal">[1]Reserves!$FO$18:$FO$120</definedName>
    <definedName name="qddGPV">[1]Reserves!$EK$18:$EK$120</definedName>
    <definedName name="qddLC1">[1]Reserves!$FC$18:$FC$120</definedName>
    <definedName name="qddRsv">[1]Reserves!$DT$18:$DT$120</definedName>
    <definedName name="qddSurrVal">[1]Reserves!$FL$18:$FL$120</definedName>
    <definedName name="qO1GPV">[1]Reserves!$EL$18:$EL$120</definedName>
    <definedName name="qO1Rsv">[1]Reserves!$DU$18:$DU$120</definedName>
    <definedName name="qO1SurrVal">[1]Reserves!$FM$18:$FM$120</definedName>
    <definedName name="qO2GPV">[1]Reserves!$EM$18:$EM$120</definedName>
    <definedName name="qO2Rsv">[1]Reserves!$DV$18:$DV$120</definedName>
    <definedName name="qO2SurrVal">[1]Reserves!$FN$18:$FN$120</definedName>
    <definedName name="qtpdGPV">[1]Reserves!$EJ$18:$EJ$120</definedName>
    <definedName name="qtpdRsv">[1]Reserves!$DS$18:$DS$120</definedName>
    <definedName name="qtpdSurrVal">[1]Reserves!$FK$18:$FK$120</definedName>
    <definedName name="qwGPV">[1]Reserves!$EN$18:$EN$120</definedName>
    <definedName name="qwLC1">[1]Reserves!$FD$18:$FD$120</definedName>
    <definedName name="qwRsv">[1]Reserves!$DW$18:$DW$120</definedName>
    <definedName name="qxGPV">[1]Reserves!$EI$18:$EI$120</definedName>
    <definedName name="qxLC1">[1]Reserves!$EZ$18:$EZ$120</definedName>
    <definedName name="qxRsv">[1]Reserves!$DR$18:$DR$120</definedName>
    <definedName name="qxSurrVal">[1]Reserves!$FJ$18:$FJ$120</definedName>
    <definedName name="Rate_Table">'Q-Rates'!$B$8:$AL$128</definedName>
    <definedName name="rates_sel">'Q-Rates'!#REF!</definedName>
    <definedName name="RB_Base">[1]Basic!$C$34</definedName>
    <definedName name="RBDD">[1]Summary!$W$18:$W$120</definedName>
    <definedName name="RBDDVested">[1]Summary!$AE$18:$AE$120</definedName>
    <definedName name="RBDeath">[1]Summary!$U$18:$U$120</definedName>
    <definedName name="RBDeathVested">[1]Summary!$AC$18:$AC$120</definedName>
    <definedName name="RBMaturity">[1]Summary!$Z$18:$Z$120</definedName>
    <definedName name="RBMaturityVested">[1]Summary!$AH$18:$AH$120</definedName>
    <definedName name="RBO1Vested">[1]Summary!$AF$18:$AF$120</definedName>
    <definedName name="RBO2Vested">[1]Summary!$AG$18:$AG$121</definedName>
    <definedName name="RBSurrender">[1]Summary!$AA$18:$AA$120</definedName>
    <definedName name="RBSurrenderVested">[1]Summary!$AI$18:$AI$120</definedName>
    <definedName name="RBTPD">[1]Summary!$V$18:$V$120</definedName>
    <definedName name="RBTPDVested">[1]Summary!$AD$18:$AD$120</definedName>
    <definedName name="RDR">[1]Basic!$C$74</definedName>
    <definedName name="Risk">[1]Summary!$BA$18:$BA$120</definedName>
    <definedName name="RsvMtd">[1]Basic!$C$78</definedName>
    <definedName name="RsvMtd_Tax">[1]Basic!$C$79</definedName>
    <definedName name="RsvStatAB">[1]Reserves!$H$18:$H$120</definedName>
    <definedName name="RsvStatBB">[1]Reserves!$G$18:$G$120</definedName>
    <definedName name="RsvStatSA">[1]Reserves!$F$18:$F$120</definedName>
    <definedName name="RsvSurrSA">[1]Reserves!$O$18:$O$120</definedName>
    <definedName name="RsvUPR_GP">[1]Reserves!$E$18:$E$120</definedName>
    <definedName name="RsvUPR_NP">[1]Reserves!$D$18:$D$120</definedName>
    <definedName name="SA_DD">[1]Summary!$I$18:$I$120</definedName>
    <definedName name="SA_DTH">[1]Summary!$G$18:$G$120</definedName>
    <definedName name="SA_MAT">[1]Summary!$L$18:$L$120</definedName>
    <definedName name="SA_max">[1]Basic!$C$18</definedName>
    <definedName name="SA_O1">[1]Summary!$J$18:$J$120</definedName>
    <definedName name="SA_O2">[1]Summary!$K$18:$K$120</definedName>
    <definedName name="SA_SURR">[1]Summary!$N$18:$N$120</definedName>
    <definedName name="SA_SURV">[1]Summary!$M$18:$M$120</definedName>
    <definedName name="SA_TPD">[1]Summary!$H$18:$H$120</definedName>
    <definedName name="SASurrenderBIPS">[1]Summary!$Q$18:$Q$120</definedName>
    <definedName name="SHTrans_Tax">[1]Basic!$C$67</definedName>
    <definedName name="SHTransfer">[1]Basic!$C$60</definedName>
    <definedName name="SMProvision">[1]Basic!$C$101</definedName>
    <definedName name="SMTable">[1]Advanced!$GK$6:$GN$125</definedName>
    <definedName name="SolvMargin">[1]Reserves!$S$18:$S$120</definedName>
    <definedName name="Surr_Base">[1]Basic!$C$42</definedName>
    <definedName name="Surr_Factor">[1]Advanced!$AD$6:$AF$125</definedName>
    <definedName name="Surr_Out">[1]Summary!$CC$18:$CC$120</definedName>
    <definedName name="Surv_Ben">[1]Advanced!$DZ$6:$EB$125</definedName>
    <definedName name="SurvBen_T">[1]Basic!$C$46</definedName>
    <definedName name="SurvivorBOY">[1]ProfitTest!$BZ$18:$BZ$120</definedName>
    <definedName name="TB_Base">[1]Basic!$C$35</definedName>
    <definedName name="TBDD">[1]Summary!$AT$18:$AT$120</definedName>
    <definedName name="TBDeath">[1]Summary!$AR$18:$AR$120</definedName>
    <definedName name="TBMaturity">[1]Summary!$AW$18:$AW$120</definedName>
    <definedName name="TBSurrender">[1]Summary!$AX$18:$AX$120</definedName>
    <definedName name="TBTPD">[1]Summary!$AS$18:$AS$120</definedName>
    <definedName name="TerritoryCode">[1]Basic!$C$26</definedName>
    <definedName name="Tier1_P">[1]Basic!$C$20</definedName>
    <definedName name="Tot_Comm">[1]Advanced!$C$38:$L$42</definedName>
    <definedName name="TPD_Dec">[1]Basic!$E$106</definedName>
    <definedName name="TPD_Sts">[1]Basic!$C$11</definedName>
    <definedName name="UPR">[1]Basic!$C$80</definedName>
    <definedName name="Year">[1]Summary!$A$18:$A$120</definedName>
    <definedName name="Zillmer">[1]Basic!$C$75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5" l="1"/>
  <c r="B3" i="15"/>
  <c r="B4" i="15" s="1"/>
  <c r="B5" i="15" s="1"/>
  <c r="B6" i="15" s="1"/>
  <c r="B7" i="15" s="1"/>
  <c r="B8" i="15" s="1"/>
  <c r="AZ128" i="6"/>
  <c r="AX128" i="6"/>
  <c r="AW128" i="6"/>
  <c r="T128" i="6"/>
  <c r="S128" i="6"/>
  <c r="R128" i="6"/>
  <c r="Q128" i="6"/>
  <c r="I128" i="6" s="1"/>
  <c r="P128" i="6"/>
  <c r="O128" i="6"/>
  <c r="N128" i="6"/>
  <c r="M128" i="6"/>
  <c r="AZ127" i="6"/>
  <c r="AX127" i="6"/>
  <c r="AW127" i="6"/>
  <c r="T127" i="6"/>
  <c r="S127" i="6"/>
  <c r="R127" i="6"/>
  <c r="Q127" i="6"/>
  <c r="P127" i="6"/>
  <c r="O127" i="6"/>
  <c r="N127" i="6"/>
  <c r="M127" i="6"/>
  <c r="I127" i="6"/>
  <c r="AZ126" i="6"/>
  <c r="AX126" i="6"/>
  <c r="AW126" i="6"/>
  <c r="T126" i="6"/>
  <c r="S126" i="6"/>
  <c r="R126" i="6"/>
  <c r="Q126" i="6"/>
  <c r="I126" i="6" s="1"/>
  <c r="P126" i="6"/>
  <c r="O126" i="6"/>
  <c r="N126" i="6"/>
  <c r="M126" i="6"/>
  <c r="AZ125" i="6"/>
  <c r="AX125" i="6"/>
  <c r="AW125" i="6"/>
  <c r="T125" i="6"/>
  <c r="S125" i="6"/>
  <c r="R125" i="6"/>
  <c r="Q125" i="6"/>
  <c r="I125" i="6" s="1"/>
  <c r="P125" i="6"/>
  <c r="O125" i="6"/>
  <c r="N125" i="6"/>
  <c r="M125" i="6"/>
  <c r="AZ124" i="6"/>
  <c r="AX124" i="6"/>
  <c r="AW124" i="6"/>
  <c r="T124" i="6"/>
  <c r="S124" i="6"/>
  <c r="R124" i="6"/>
  <c r="Q124" i="6"/>
  <c r="I124" i="6" s="1"/>
  <c r="P124" i="6"/>
  <c r="O124" i="6"/>
  <c r="N124" i="6"/>
  <c r="M124" i="6"/>
  <c r="AZ123" i="6"/>
  <c r="AX123" i="6"/>
  <c r="AW123" i="6"/>
  <c r="T123" i="6"/>
  <c r="S123" i="6"/>
  <c r="R123" i="6"/>
  <c r="Q123" i="6"/>
  <c r="I123" i="6" s="1"/>
  <c r="P123" i="6"/>
  <c r="O123" i="6"/>
  <c r="N123" i="6"/>
  <c r="M123" i="6"/>
  <c r="AZ122" i="6"/>
  <c r="AX122" i="6"/>
  <c r="AW122" i="6"/>
  <c r="T122" i="6"/>
  <c r="S122" i="6"/>
  <c r="R122" i="6"/>
  <c r="Q122" i="6"/>
  <c r="I122" i="6" s="1"/>
  <c r="P122" i="6"/>
  <c r="O122" i="6"/>
  <c r="N122" i="6"/>
  <c r="M122" i="6"/>
  <c r="AZ121" i="6"/>
  <c r="AX121" i="6"/>
  <c r="AW121" i="6"/>
  <c r="T121" i="6"/>
  <c r="S121" i="6"/>
  <c r="R121" i="6"/>
  <c r="Q121" i="6"/>
  <c r="I121" i="6" s="1"/>
  <c r="P121" i="6"/>
  <c r="O121" i="6"/>
  <c r="N121" i="6"/>
  <c r="M121" i="6"/>
  <c r="AZ120" i="6"/>
  <c r="AX120" i="6"/>
  <c r="AW120" i="6"/>
  <c r="T120" i="6"/>
  <c r="S120" i="6"/>
  <c r="R120" i="6"/>
  <c r="Q120" i="6"/>
  <c r="P120" i="6"/>
  <c r="O120" i="6"/>
  <c r="N120" i="6"/>
  <c r="M120" i="6"/>
  <c r="I120" i="6"/>
  <c r="AZ119" i="6"/>
  <c r="AX119" i="6"/>
  <c r="AW119" i="6"/>
  <c r="T119" i="6"/>
  <c r="S119" i="6"/>
  <c r="R119" i="6"/>
  <c r="Q119" i="6"/>
  <c r="I119" i="6" s="1"/>
  <c r="P119" i="6"/>
  <c r="O119" i="6"/>
  <c r="N119" i="6"/>
  <c r="M119" i="6"/>
  <c r="AZ118" i="6"/>
  <c r="AX118" i="6"/>
  <c r="AW118" i="6"/>
  <c r="T118" i="6"/>
  <c r="S118" i="6"/>
  <c r="R118" i="6"/>
  <c r="Q118" i="6"/>
  <c r="I118" i="6" s="1"/>
  <c r="P118" i="6"/>
  <c r="O118" i="6"/>
  <c r="N118" i="6"/>
  <c r="M118" i="6"/>
  <c r="AZ117" i="6"/>
  <c r="AX117" i="6"/>
  <c r="AW117" i="6"/>
  <c r="T117" i="6"/>
  <c r="S117" i="6"/>
  <c r="R117" i="6"/>
  <c r="Q117" i="6"/>
  <c r="I117" i="6" s="1"/>
  <c r="P117" i="6"/>
  <c r="O117" i="6"/>
  <c r="N117" i="6"/>
  <c r="M117" i="6"/>
  <c r="AZ116" i="6"/>
  <c r="AX116" i="6"/>
  <c r="AW116" i="6"/>
  <c r="T116" i="6"/>
  <c r="S116" i="6"/>
  <c r="R116" i="6"/>
  <c r="Q116" i="6"/>
  <c r="I116" i="6" s="1"/>
  <c r="P116" i="6"/>
  <c r="O116" i="6"/>
  <c r="N116" i="6"/>
  <c r="M116" i="6"/>
  <c r="AZ115" i="6"/>
  <c r="AX115" i="6"/>
  <c r="AW115" i="6"/>
  <c r="T115" i="6"/>
  <c r="S115" i="6"/>
  <c r="R115" i="6"/>
  <c r="Q115" i="6"/>
  <c r="I115" i="6" s="1"/>
  <c r="P115" i="6"/>
  <c r="O115" i="6"/>
  <c r="N115" i="6"/>
  <c r="M115" i="6"/>
  <c r="AZ114" i="6"/>
  <c r="AX114" i="6"/>
  <c r="AW114" i="6"/>
  <c r="T114" i="6"/>
  <c r="S114" i="6"/>
  <c r="R114" i="6"/>
  <c r="Q114" i="6"/>
  <c r="I114" i="6" s="1"/>
  <c r="P114" i="6"/>
  <c r="O114" i="6"/>
  <c r="N114" i="6"/>
  <c r="M114" i="6"/>
  <c r="AZ113" i="6"/>
  <c r="AX113" i="6"/>
  <c r="AW113" i="6"/>
  <c r="T113" i="6"/>
  <c r="S113" i="6"/>
  <c r="R113" i="6"/>
  <c r="Q113" i="6"/>
  <c r="I113" i="6" s="1"/>
  <c r="P113" i="6"/>
  <c r="O113" i="6"/>
  <c r="N113" i="6"/>
  <c r="M113" i="6"/>
  <c r="AZ112" i="6"/>
  <c r="AX112" i="6"/>
  <c r="AW112" i="6"/>
  <c r="T112" i="6"/>
  <c r="S112" i="6"/>
  <c r="R112" i="6"/>
  <c r="Q112" i="6"/>
  <c r="I112" i="6" s="1"/>
  <c r="P112" i="6"/>
  <c r="O112" i="6"/>
  <c r="N112" i="6"/>
  <c r="M112" i="6"/>
  <c r="AZ111" i="6"/>
  <c r="AX111" i="6"/>
  <c r="AW111" i="6"/>
  <c r="T111" i="6"/>
  <c r="S111" i="6"/>
  <c r="R111" i="6"/>
  <c r="Q111" i="6"/>
  <c r="I111" i="6" s="1"/>
  <c r="P111" i="6"/>
  <c r="O111" i="6"/>
  <c r="N111" i="6"/>
  <c r="M111" i="6"/>
  <c r="AZ110" i="6"/>
  <c r="AX110" i="6"/>
  <c r="AW110" i="6"/>
  <c r="T110" i="6"/>
  <c r="S110" i="6"/>
  <c r="R110" i="6"/>
  <c r="Q110" i="6"/>
  <c r="P110" i="6"/>
  <c r="O110" i="6"/>
  <c r="N110" i="6"/>
  <c r="M110" i="6"/>
  <c r="I110" i="6"/>
  <c r="AZ109" i="6"/>
  <c r="AX109" i="6"/>
  <c r="AW109" i="6"/>
  <c r="T109" i="6"/>
  <c r="S109" i="6"/>
  <c r="R109" i="6"/>
  <c r="Q109" i="6"/>
  <c r="I109" i="6" s="1"/>
  <c r="P109" i="6"/>
  <c r="O109" i="6"/>
  <c r="N109" i="6"/>
  <c r="M109" i="6"/>
  <c r="AZ108" i="6"/>
  <c r="AX108" i="6"/>
  <c r="AW108" i="6"/>
  <c r="T108" i="6"/>
  <c r="S108" i="6"/>
  <c r="R108" i="6"/>
  <c r="Q108" i="6"/>
  <c r="I108" i="6" s="1"/>
  <c r="P108" i="6"/>
  <c r="O108" i="6"/>
  <c r="N108" i="6"/>
  <c r="M108" i="6"/>
  <c r="AZ107" i="6"/>
  <c r="AX107" i="6"/>
  <c r="AW107" i="6"/>
  <c r="T107" i="6"/>
  <c r="S107" i="6"/>
  <c r="R107" i="6"/>
  <c r="Q107" i="6"/>
  <c r="I107" i="6" s="1"/>
  <c r="P107" i="6"/>
  <c r="O107" i="6"/>
  <c r="N107" i="6"/>
  <c r="M107" i="6"/>
  <c r="AZ106" i="6"/>
  <c r="AX106" i="6"/>
  <c r="AW106" i="6"/>
  <c r="T106" i="6"/>
  <c r="S106" i="6"/>
  <c r="R106" i="6"/>
  <c r="Q106" i="6"/>
  <c r="I106" i="6" s="1"/>
  <c r="P106" i="6"/>
  <c r="O106" i="6"/>
  <c r="N106" i="6"/>
  <c r="M106" i="6"/>
  <c r="AZ105" i="6"/>
  <c r="AX105" i="6"/>
  <c r="AW105" i="6"/>
  <c r="T105" i="6"/>
  <c r="S105" i="6"/>
  <c r="R105" i="6"/>
  <c r="Q105" i="6"/>
  <c r="I105" i="6" s="1"/>
  <c r="P105" i="6"/>
  <c r="O105" i="6"/>
  <c r="N105" i="6"/>
  <c r="M105" i="6"/>
  <c r="AZ104" i="6"/>
  <c r="AX104" i="6"/>
  <c r="AW104" i="6"/>
  <c r="T104" i="6"/>
  <c r="S104" i="6"/>
  <c r="R104" i="6"/>
  <c r="Q104" i="6"/>
  <c r="I104" i="6" s="1"/>
  <c r="P104" i="6"/>
  <c r="O104" i="6"/>
  <c r="N104" i="6"/>
  <c r="M104" i="6"/>
  <c r="AZ103" i="6"/>
  <c r="AX103" i="6"/>
  <c r="AW103" i="6"/>
  <c r="T103" i="6"/>
  <c r="S103" i="6"/>
  <c r="R103" i="6"/>
  <c r="Q103" i="6"/>
  <c r="I103" i="6" s="1"/>
  <c r="P103" i="6"/>
  <c r="O103" i="6"/>
  <c r="N103" i="6"/>
  <c r="M103" i="6"/>
  <c r="AZ102" i="6"/>
  <c r="AX102" i="6"/>
  <c r="AW102" i="6"/>
  <c r="T102" i="6"/>
  <c r="S102" i="6"/>
  <c r="R102" i="6"/>
  <c r="Q102" i="6"/>
  <c r="I102" i="6" s="1"/>
  <c r="P102" i="6"/>
  <c r="O102" i="6"/>
  <c r="N102" i="6"/>
  <c r="M102" i="6"/>
  <c r="AZ101" i="6"/>
  <c r="AX101" i="6"/>
  <c r="AW101" i="6"/>
  <c r="T101" i="6"/>
  <c r="S101" i="6"/>
  <c r="R101" i="6"/>
  <c r="Q101" i="6"/>
  <c r="I101" i="6" s="1"/>
  <c r="P101" i="6"/>
  <c r="O101" i="6"/>
  <c r="N101" i="6"/>
  <c r="M101" i="6"/>
  <c r="AZ100" i="6"/>
  <c r="AX100" i="6"/>
  <c r="AW100" i="6"/>
  <c r="T100" i="6"/>
  <c r="S100" i="6"/>
  <c r="R100" i="6"/>
  <c r="Q100" i="6"/>
  <c r="I100" i="6" s="1"/>
  <c r="P100" i="6"/>
  <c r="O100" i="6"/>
  <c r="N100" i="6"/>
  <c r="M100" i="6"/>
  <c r="AZ99" i="6"/>
  <c r="AX99" i="6"/>
  <c r="AW99" i="6"/>
  <c r="T99" i="6"/>
  <c r="S99" i="6"/>
  <c r="R99" i="6"/>
  <c r="Q99" i="6"/>
  <c r="I99" i="6" s="1"/>
  <c r="P99" i="6"/>
  <c r="O99" i="6"/>
  <c r="N99" i="6"/>
  <c r="M99" i="6"/>
  <c r="AZ98" i="6"/>
  <c r="AX98" i="6"/>
  <c r="AW98" i="6"/>
  <c r="T98" i="6"/>
  <c r="S98" i="6"/>
  <c r="R98" i="6"/>
  <c r="Q98" i="6"/>
  <c r="I98" i="6" s="1"/>
  <c r="P98" i="6"/>
  <c r="O98" i="6"/>
  <c r="N98" i="6"/>
  <c r="M98" i="6"/>
  <c r="AZ97" i="6"/>
  <c r="AX97" i="6"/>
  <c r="AW97" i="6"/>
  <c r="T97" i="6"/>
  <c r="S97" i="6"/>
  <c r="R97" i="6"/>
  <c r="Q97" i="6"/>
  <c r="I97" i="6" s="1"/>
  <c r="P97" i="6"/>
  <c r="O97" i="6"/>
  <c r="N97" i="6"/>
  <c r="M97" i="6"/>
  <c r="AZ96" i="6"/>
  <c r="AX96" i="6"/>
  <c r="AW96" i="6"/>
  <c r="T96" i="6"/>
  <c r="S96" i="6"/>
  <c r="R96" i="6"/>
  <c r="Q96" i="6"/>
  <c r="I96" i="6" s="1"/>
  <c r="P96" i="6"/>
  <c r="O96" i="6"/>
  <c r="N96" i="6"/>
  <c r="M96" i="6"/>
  <c r="AZ95" i="6"/>
  <c r="AX95" i="6"/>
  <c r="AW95" i="6"/>
  <c r="T95" i="6"/>
  <c r="S95" i="6"/>
  <c r="R95" i="6"/>
  <c r="Q95" i="6"/>
  <c r="P95" i="6"/>
  <c r="O95" i="6"/>
  <c r="N95" i="6"/>
  <c r="M95" i="6"/>
  <c r="I95" i="6"/>
  <c r="AZ94" i="6"/>
  <c r="AX94" i="6"/>
  <c r="AW94" i="6"/>
  <c r="T94" i="6"/>
  <c r="S94" i="6"/>
  <c r="R94" i="6"/>
  <c r="Q94" i="6"/>
  <c r="I94" i="6" s="1"/>
  <c r="P94" i="6"/>
  <c r="O94" i="6"/>
  <c r="N94" i="6"/>
  <c r="M94" i="6"/>
  <c r="AZ93" i="6"/>
  <c r="AX93" i="6"/>
  <c r="AW93" i="6"/>
  <c r="T93" i="6"/>
  <c r="S93" i="6"/>
  <c r="R93" i="6"/>
  <c r="Q93" i="6"/>
  <c r="I93" i="6" s="1"/>
  <c r="P93" i="6"/>
  <c r="O93" i="6"/>
  <c r="N93" i="6"/>
  <c r="M93" i="6"/>
  <c r="AZ92" i="6"/>
  <c r="AX92" i="6"/>
  <c r="AW92" i="6"/>
  <c r="T92" i="6"/>
  <c r="S92" i="6"/>
  <c r="R92" i="6"/>
  <c r="Q92" i="6"/>
  <c r="I92" i="6" s="1"/>
  <c r="P92" i="6"/>
  <c r="O92" i="6"/>
  <c r="N92" i="6"/>
  <c r="M92" i="6"/>
  <c r="AZ91" i="6"/>
  <c r="AX91" i="6"/>
  <c r="AW91" i="6"/>
  <c r="T91" i="6"/>
  <c r="S91" i="6"/>
  <c r="R91" i="6"/>
  <c r="Q91" i="6"/>
  <c r="I91" i="6" s="1"/>
  <c r="P91" i="6"/>
  <c r="O91" i="6"/>
  <c r="N91" i="6"/>
  <c r="M91" i="6"/>
  <c r="AZ90" i="6"/>
  <c r="AX90" i="6"/>
  <c r="AW90" i="6"/>
  <c r="T90" i="6"/>
  <c r="S90" i="6"/>
  <c r="R90" i="6"/>
  <c r="Q90" i="6"/>
  <c r="I90" i="6" s="1"/>
  <c r="P90" i="6"/>
  <c r="O90" i="6"/>
  <c r="N90" i="6"/>
  <c r="M90" i="6"/>
  <c r="AZ89" i="6"/>
  <c r="AX89" i="6"/>
  <c r="AW89" i="6"/>
  <c r="T89" i="6"/>
  <c r="S89" i="6"/>
  <c r="R89" i="6"/>
  <c r="Q89" i="6"/>
  <c r="I89" i="6" s="1"/>
  <c r="P89" i="6"/>
  <c r="O89" i="6"/>
  <c r="N89" i="6"/>
  <c r="M89" i="6"/>
  <c r="AZ88" i="6"/>
  <c r="AX88" i="6"/>
  <c r="AW88" i="6"/>
  <c r="T88" i="6"/>
  <c r="S88" i="6"/>
  <c r="R88" i="6"/>
  <c r="Q88" i="6"/>
  <c r="I88" i="6" s="1"/>
  <c r="P88" i="6"/>
  <c r="O88" i="6"/>
  <c r="N88" i="6"/>
  <c r="M88" i="6"/>
  <c r="AZ87" i="6"/>
  <c r="AX87" i="6"/>
  <c r="AW87" i="6"/>
  <c r="T87" i="6"/>
  <c r="S87" i="6"/>
  <c r="R87" i="6"/>
  <c r="Q87" i="6"/>
  <c r="I87" i="6" s="1"/>
  <c r="P87" i="6"/>
  <c r="O87" i="6"/>
  <c r="N87" i="6"/>
  <c r="M87" i="6"/>
  <c r="AZ86" i="6"/>
  <c r="AX86" i="6"/>
  <c r="AW86" i="6"/>
  <c r="T86" i="6"/>
  <c r="S86" i="6"/>
  <c r="R86" i="6"/>
  <c r="Q86" i="6"/>
  <c r="I86" i="6" s="1"/>
  <c r="P86" i="6"/>
  <c r="O86" i="6"/>
  <c r="N86" i="6"/>
  <c r="M86" i="6"/>
  <c r="AZ85" i="6"/>
  <c r="AX85" i="6"/>
  <c r="AW85" i="6"/>
  <c r="AZ84" i="6"/>
  <c r="AX84" i="6"/>
  <c r="AW84" i="6"/>
  <c r="AZ83" i="6"/>
  <c r="AX83" i="6"/>
  <c r="AW83" i="6"/>
  <c r="AZ82" i="6"/>
  <c r="AX82" i="6"/>
  <c r="AW82" i="6"/>
  <c r="AZ81" i="6"/>
  <c r="AX81" i="6"/>
  <c r="AW81" i="6"/>
  <c r="AZ80" i="6"/>
  <c r="AX80" i="6"/>
  <c r="AW80" i="6"/>
  <c r="AZ79" i="6"/>
  <c r="AX79" i="6"/>
  <c r="AW79" i="6"/>
  <c r="AZ78" i="6"/>
  <c r="AX78" i="6"/>
  <c r="AW78" i="6"/>
  <c r="AZ77" i="6"/>
  <c r="AX77" i="6"/>
  <c r="AW77" i="6"/>
  <c r="AZ76" i="6"/>
  <c r="AX76" i="6"/>
  <c r="AW76" i="6"/>
  <c r="AZ75" i="6"/>
  <c r="AX75" i="6"/>
  <c r="AW75" i="6"/>
  <c r="AZ74" i="6"/>
  <c r="AX74" i="6"/>
  <c r="AW74" i="6"/>
  <c r="AZ73" i="6"/>
  <c r="AX73" i="6"/>
  <c r="AW73" i="6"/>
  <c r="AZ72" i="6"/>
  <c r="AX72" i="6"/>
  <c r="AW72" i="6"/>
  <c r="AZ71" i="6"/>
  <c r="AX71" i="6"/>
  <c r="AW71" i="6"/>
  <c r="AZ70" i="6"/>
  <c r="AX70" i="6"/>
  <c r="AW70" i="6"/>
  <c r="AZ69" i="6"/>
  <c r="AX69" i="6"/>
  <c r="AW69" i="6"/>
  <c r="AZ68" i="6"/>
  <c r="AX68" i="6"/>
  <c r="AW68" i="6"/>
  <c r="AZ67" i="6"/>
  <c r="AX67" i="6"/>
  <c r="AW67" i="6"/>
  <c r="AZ66" i="6"/>
  <c r="AX66" i="6"/>
  <c r="AW66" i="6"/>
  <c r="AZ65" i="6"/>
  <c r="AX65" i="6"/>
  <c r="AW65" i="6"/>
  <c r="AZ64" i="6"/>
  <c r="AX64" i="6"/>
  <c r="AW64" i="6"/>
  <c r="AZ63" i="6"/>
  <c r="AX63" i="6"/>
  <c r="AW63" i="6"/>
  <c r="AZ62" i="6"/>
  <c r="AX62" i="6"/>
  <c r="AW62" i="6"/>
  <c r="AZ61" i="6"/>
  <c r="AX61" i="6"/>
  <c r="AW61" i="6"/>
  <c r="AZ60" i="6"/>
  <c r="AX60" i="6"/>
  <c r="AW60" i="6"/>
  <c r="AZ59" i="6"/>
  <c r="AX59" i="6"/>
  <c r="AW59" i="6"/>
  <c r="AZ58" i="6"/>
  <c r="AX58" i="6"/>
  <c r="AW58" i="6"/>
  <c r="AZ57" i="6"/>
  <c r="AX57" i="6"/>
  <c r="AW57" i="6"/>
  <c r="AZ56" i="6"/>
  <c r="AX56" i="6"/>
  <c r="AW56" i="6"/>
  <c r="AZ55" i="6"/>
  <c r="AX55" i="6"/>
  <c r="AW55" i="6"/>
  <c r="AZ54" i="6"/>
  <c r="AX54" i="6"/>
  <c r="AW54" i="6"/>
  <c r="AZ53" i="6"/>
  <c r="AX53" i="6"/>
  <c r="AW53" i="6"/>
  <c r="AZ52" i="6"/>
  <c r="AX52" i="6"/>
  <c r="AW52" i="6"/>
  <c r="AZ51" i="6"/>
  <c r="AX51" i="6"/>
  <c r="AW51" i="6"/>
  <c r="AZ50" i="6"/>
  <c r="AX50" i="6"/>
  <c r="AW50" i="6"/>
  <c r="AZ49" i="6"/>
  <c r="AX49" i="6"/>
  <c r="AW49" i="6"/>
  <c r="AZ48" i="6"/>
  <c r="AX48" i="6"/>
  <c r="AW48" i="6"/>
  <c r="AZ47" i="6"/>
  <c r="AX47" i="6"/>
  <c r="AW47" i="6"/>
  <c r="AZ46" i="6"/>
  <c r="AX46" i="6"/>
  <c r="AW46" i="6"/>
  <c r="AZ45" i="6"/>
  <c r="AX45" i="6"/>
  <c r="AW45" i="6"/>
  <c r="AZ44" i="6"/>
  <c r="AX44" i="6"/>
  <c r="AW44" i="6"/>
  <c r="AZ43" i="6"/>
  <c r="AX43" i="6"/>
  <c r="AW43" i="6"/>
  <c r="AZ42" i="6"/>
  <c r="AX42" i="6"/>
  <c r="AW42" i="6"/>
  <c r="AZ41" i="6"/>
  <c r="AX41" i="6"/>
  <c r="AW41" i="6"/>
  <c r="AZ40" i="6"/>
  <c r="AX40" i="6"/>
  <c r="AW40" i="6"/>
  <c r="AZ39" i="6"/>
  <c r="AX39" i="6"/>
  <c r="AW39" i="6"/>
  <c r="AZ38" i="6"/>
  <c r="AX38" i="6"/>
  <c r="AW38" i="6"/>
  <c r="AZ37" i="6"/>
  <c r="AX37" i="6"/>
  <c r="AW37" i="6"/>
  <c r="AZ36" i="6"/>
  <c r="AX36" i="6"/>
  <c r="AW36" i="6"/>
  <c r="AZ35" i="6"/>
  <c r="AX35" i="6"/>
  <c r="AW35" i="6"/>
  <c r="AZ34" i="6"/>
  <c r="AX34" i="6"/>
  <c r="AW34" i="6"/>
  <c r="AZ33" i="6"/>
  <c r="AX33" i="6"/>
  <c r="AW33" i="6"/>
  <c r="AZ32" i="6"/>
  <c r="AX32" i="6"/>
  <c r="AW32" i="6"/>
  <c r="AZ31" i="6"/>
  <c r="AX31" i="6"/>
  <c r="AW31" i="6"/>
  <c r="AZ30" i="6"/>
  <c r="AX30" i="6"/>
  <c r="AW30" i="6"/>
  <c r="AZ29" i="6"/>
  <c r="AX29" i="6"/>
  <c r="AW29" i="6"/>
  <c r="AZ28" i="6"/>
  <c r="AX28" i="6"/>
  <c r="AW28" i="6"/>
  <c r="AZ27" i="6"/>
  <c r="AX27" i="6"/>
  <c r="AW27" i="6"/>
  <c r="AZ26" i="6"/>
  <c r="AX26" i="6"/>
  <c r="AW26" i="6"/>
  <c r="AZ25" i="6"/>
  <c r="AX25" i="6"/>
  <c r="AW25" i="6"/>
  <c r="I25" i="6"/>
  <c r="AZ24" i="6"/>
  <c r="AX24" i="6"/>
  <c r="AW24" i="6"/>
  <c r="I24" i="6"/>
  <c r="AZ23" i="6"/>
  <c r="AX23" i="6"/>
  <c r="AW23" i="6"/>
  <c r="I23" i="6"/>
  <c r="AZ22" i="6"/>
  <c r="AX22" i="6"/>
  <c r="AW22" i="6"/>
  <c r="I22" i="6"/>
  <c r="AZ21" i="6"/>
  <c r="AX21" i="6"/>
  <c r="AW21" i="6"/>
  <c r="I21" i="6"/>
  <c r="AZ20" i="6"/>
  <c r="AX20" i="6"/>
  <c r="AW20" i="6"/>
  <c r="I20" i="6"/>
  <c r="AZ19" i="6"/>
  <c r="AX19" i="6"/>
  <c r="AW19" i="6"/>
  <c r="I19" i="6"/>
  <c r="AZ18" i="6"/>
  <c r="AX18" i="6"/>
  <c r="AW18" i="6"/>
  <c r="I18" i="6"/>
  <c r="AZ17" i="6"/>
  <c r="AX17" i="6"/>
  <c r="AW17" i="6"/>
  <c r="I17" i="6"/>
  <c r="AZ16" i="6"/>
  <c r="AX16" i="6"/>
  <c r="AW16" i="6"/>
  <c r="I16" i="6"/>
  <c r="AZ15" i="6"/>
  <c r="AX15" i="6"/>
  <c r="AW15" i="6"/>
  <c r="I15" i="6"/>
  <c r="AZ14" i="6"/>
  <c r="AX14" i="6"/>
  <c r="AW14" i="6"/>
  <c r="I14" i="6"/>
  <c r="AZ13" i="6"/>
  <c r="AX13" i="6"/>
  <c r="AW13" i="6"/>
  <c r="I13" i="6"/>
  <c r="AZ12" i="6"/>
  <c r="AX12" i="6"/>
  <c r="AW12" i="6"/>
  <c r="I12" i="6"/>
  <c r="AZ11" i="6"/>
  <c r="AX11" i="6"/>
  <c r="AW11" i="6"/>
  <c r="I11" i="6"/>
  <c r="AZ10" i="6"/>
  <c r="AX10" i="6"/>
  <c r="AW10" i="6"/>
  <c r="AV10" i="6"/>
  <c r="AV11" i="6" s="1"/>
  <c r="AV12" i="6" s="1"/>
  <c r="AV13" i="6" s="1"/>
  <c r="AV14" i="6" s="1"/>
  <c r="AV15" i="6" s="1"/>
  <c r="AV16" i="6" s="1"/>
  <c r="AV17" i="6" s="1"/>
  <c r="AV18" i="6" s="1"/>
  <c r="AV19" i="6" s="1"/>
  <c r="AV20" i="6" s="1"/>
  <c r="AV21" i="6" s="1"/>
  <c r="AV22" i="6" s="1"/>
  <c r="AV23" i="6" s="1"/>
  <c r="AV24" i="6" s="1"/>
  <c r="AV25" i="6" s="1"/>
  <c r="AV26" i="6" s="1"/>
  <c r="AV27" i="6" s="1"/>
  <c r="AV28" i="6" s="1"/>
  <c r="AV29" i="6" s="1"/>
  <c r="AV30" i="6" s="1"/>
  <c r="AV31" i="6" s="1"/>
  <c r="AV32" i="6" s="1"/>
  <c r="AV33" i="6" s="1"/>
  <c r="AV34" i="6" s="1"/>
  <c r="AV35" i="6" s="1"/>
  <c r="AV36" i="6" s="1"/>
  <c r="AV37" i="6" s="1"/>
  <c r="AV38" i="6" s="1"/>
  <c r="AV39" i="6" s="1"/>
  <c r="AV40" i="6" s="1"/>
  <c r="AV41" i="6" s="1"/>
  <c r="AV42" i="6" s="1"/>
  <c r="AV43" i="6" s="1"/>
  <c r="AV44" i="6" s="1"/>
  <c r="AV45" i="6" s="1"/>
  <c r="AV46" i="6" s="1"/>
  <c r="AV47" i="6" s="1"/>
  <c r="AV48" i="6" s="1"/>
  <c r="AV49" i="6" s="1"/>
  <c r="AV50" i="6" s="1"/>
  <c r="AV51" i="6" s="1"/>
  <c r="AV52" i="6" s="1"/>
  <c r="AV53" i="6" s="1"/>
  <c r="AV54" i="6" s="1"/>
  <c r="AV55" i="6" s="1"/>
  <c r="AV56" i="6" s="1"/>
  <c r="AV57" i="6" s="1"/>
  <c r="AV58" i="6" s="1"/>
  <c r="AV59" i="6" s="1"/>
  <c r="AV60" i="6" s="1"/>
  <c r="AV61" i="6" s="1"/>
  <c r="AV62" i="6" s="1"/>
  <c r="AV63" i="6" s="1"/>
  <c r="AV64" i="6" s="1"/>
  <c r="AV65" i="6" s="1"/>
  <c r="AV66" i="6" s="1"/>
  <c r="AV67" i="6" s="1"/>
  <c r="AV68" i="6" s="1"/>
  <c r="AV69" i="6" s="1"/>
  <c r="AV70" i="6" s="1"/>
  <c r="AV71" i="6" s="1"/>
  <c r="AV72" i="6" s="1"/>
  <c r="AV73" i="6" s="1"/>
  <c r="AV74" i="6" s="1"/>
  <c r="AV75" i="6" s="1"/>
  <c r="AV76" i="6" s="1"/>
  <c r="AV77" i="6" s="1"/>
  <c r="AV78" i="6" s="1"/>
  <c r="AV79" i="6" s="1"/>
  <c r="AV80" i="6" s="1"/>
  <c r="AV81" i="6" s="1"/>
  <c r="AV82" i="6" s="1"/>
  <c r="AV83" i="6" s="1"/>
  <c r="AV84" i="6" s="1"/>
  <c r="AV85" i="6" s="1"/>
  <c r="AV86" i="6" s="1"/>
  <c r="AV87" i="6" s="1"/>
  <c r="AV88" i="6" s="1"/>
  <c r="AV89" i="6" s="1"/>
  <c r="AV90" i="6" s="1"/>
  <c r="AV91" i="6" s="1"/>
  <c r="AV92" i="6" s="1"/>
  <c r="AV93" i="6" s="1"/>
  <c r="AV94" i="6" s="1"/>
  <c r="AV95" i="6" s="1"/>
  <c r="AV96" i="6" s="1"/>
  <c r="AV97" i="6" s="1"/>
  <c r="AV98" i="6" s="1"/>
  <c r="AV99" i="6" s="1"/>
  <c r="AV100" i="6" s="1"/>
  <c r="AV101" i="6" s="1"/>
  <c r="AV102" i="6" s="1"/>
  <c r="AV103" i="6" s="1"/>
  <c r="AV104" i="6" s="1"/>
  <c r="AV105" i="6" s="1"/>
  <c r="AV106" i="6" s="1"/>
  <c r="AV107" i="6" s="1"/>
  <c r="AV108" i="6" s="1"/>
  <c r="AV109" i="6" s="1"/>
  <c r="AV110" i="6" s="1"/>
  <c r="AV111" i="6" s="1"/>
  <c r="AV112" i="6" s="1"/>
  <c r="AV113" i="6" s="1"/>
  <c r="AV114" i="6" s="1"/>
  <c r="AV115" i="6" s="1"/>
  <c r="AV116" i="6" s="1"/>
  <c r="AV117" i="6" s="1"/>
  <c r="AV118" i="6" s="1"/>
  <c r="AV119" i="6" s="1"/>
  <c r="AV120" i="6" s="1"/>
  <c r="AV121" i="6" s="1"/>
  <c r="AV122" i="6" s="1"/>
  <c r="AV123" i="6" s="1"/>
  <c r="AV124" i="6" s="1"/>
  <c r="AV125" i="6" s="1"/>
  <c r="AV126" i="6" s="1"/>
  <c r="AV127" i="6" s="1"/>
  <c r="AV128" i="6" s="1"/>
  <c r="I10" i="6"/>
  <c r="BD9" i="6"/>
  <c r="BD10" i="6" s="1"/>
  <c r="BD11" i="6" s="1"/>
  <c r="BD12" i="6" s="1"/>
  <c r="BD13" i="6" s="1"/>
  <c r="BD14" i="6" s="1"/>
  <c r="BD15" i="6" s="1"/>
  <c r="BD16" i="6" s="1"/>
  <c r="BD17" i="6" s="1"/>
  <c r="BD18" i="6" s="1"/>
  <c r="BD19" i="6" s="1"/>
  <c r="BD20" i="6" s="1"/>
  <c r="BD21" i="6" s="1"/>
  <c r="BD22" i="6" s="1"/>
  <c r="BD23" i="6" s="1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D42" i="6" s="1"/>
  <c r="BD43" i="6" s="1"/>
  <c r="BD44" i="6" s="1"/>
  <c r="BD45" i="6" s="1"/>
  <c r="BD46" i="6" s="1"/>
  <c r="BD47" i="6" s="1"/>
  <c r="BD48" i="6" s="1"/>
  <c r="BD49" i="6" s="1"/>
  <c r="BD50" i="6" s="1"/>
  <c r="BD51" i="6" s="1"/>
  <c r="BD52" i="6" s="1"/>
  <c r="BD53" i="6" s="1"/>
  <c r="BD54" i="6" s="1"/>
  <c r="BD55" i="6" s="1"/>
  <c r="BD56" i="6" s="1"/>
  <c r="BD57" i="6" s="1"/>
  <c r="BD58" i="6" s="1"/>
  <c r="BD59" i="6" s="1"/>
  <c r="BD60" i="6" s="1"/>
  <c r="BD61" i="6" s="1"/>
  <c r="BD62" i="6" s="1"/>
  <c r="BD63" i="6" s="1"/>
  <c r="BD64" i="6" s="1"/>
  <c r="BD65" i="6" s="1"/>
  <c r="BD66" i="6" s="1"/>
  <c r="BD67" i="6" s="1"/>
  <c r="BD68" i="6" s="1"/>
  <c r="BD69" i="6" s="1"/>
  <c r="BD70" i="6" s="1"/>
  <c r="BD71" i="6" s="1"/>
  <c r="BD72" i="6" s="1"/>
  <c r="BD73" i="6" s="1"/>
  <c r="BD74" i="6" s="1"/>
  <c r="BD75" i="6" s="1"/>
  <c r="BD76" i="6" s="1"/>
  <c r="BD77" i="6" s="1"/>
  <c r="BD78" i="6" s="1"/>
  <c r="BD79" i="6" s="1"/>
  <c r="BD80" i="6" s="1"/>
  <c r="BD81" i="6" s="1"/>
  <c r="BD82" i="6" s="1"/>
  <c r="BD83" i="6" s="1"/>
  <c r="BD84" i="6" s="1"/>
  <c r="BD85" i="6" s="1"/>
  <c r="BD86" i="6" s="1"/>
  <c r="BD87" i="6" s="1"/>
  <c r="BD88" i="6" s="1"/>
  <c r="BD89" i="6" s="1"/>
  <c r="BD90" i="6" s="1"/>
  <c r="BD91" i="6" s="1"/>
  <c r="BD92" i="6" s="1"/>
  <c r="BD93" i="6" s="1"/>
  <c r="BD94" i="6" s="1"/>
  <c r="BD95" i="6" s="1"/>
  <c r="BD96" i="6" s="1"/>
  <c r="BD97" i="6" s="1"/>
  <c r="BD98" i="6" s="1"/>
  <c r="BD99" i="6" s="1"/>
  <c r="BD100" i="6" s="1"/>
  <c r="BD101" i="6" s="1"/>
  <c r="BD102" i="6" s="1"/>
  <c r="BD103" i="6" s="1"/>
  <c r="BD104" i="6" s="1"/>
  <c r="BD105" i="6" s="1"/>
  <c r="BD106" i="6" s="1"/>
  <c r="BD107" i="6" s="1"/>
  <c r="BD108" i="6" s="1"/>
  <c r="BD109" i="6" s="1"/>
  <c r="BD110" i="6" s="1"/>
  <c r="BD111" i="6" s="1"/>
  <c r="BD112" i="6" s="1"/>
  <c r="BD113" i="6" s="1"/>
  <c r="BD114" i="6" s="1"/>
  <c r="BD115" i="6" s="1"/>
  <c r="BD116" i="6" s="1"/>
  <c r="BD117" i="6" s="1"/>
  <c r="BD118" i="6" s="1"/>
  <c r="BD119" i="6" s="1"/>
  <c r="BD120" i="6" s="1"/>
  <c r="BD121" i="6" s="1"/>
  <c r="BD122" i="6" s="1"/>
  <c r="BD123" i="6" s="1"/>
  <c r="BD124" i="6" s="1"/>
  <c r="BD125" i="6" s="1"/>
  <c r="BD126" i="6" s="1"/>
  <c r="BD127" i="6" s="1"/>
  <c r="BD128" i="6" s="1"/>
  <c r="BC9" i="6"/>
  <c r="BC10" i="6" s="1"/>
  <c r="BC11" i="6" s="1"/>
  <c r="BC12" i="6" s="1"/>
  <c r="BC13" i="6" s="1"/>
  <c r="BC14" i="6" s="1"/>
  <c r="BC15" i="6" s="1"/>
  <c r="BC16" i="6" s="1"/>
  <c r="BC17" i="6" s="1"/>
  <c r="BC18" i="6" s="1"/>
  <c r="BC19" i="6" s="1"/>
  <c r="BC20" i="6" s="1"/>
  <c r="BC21" i="6" s="1"/>
  <c r="BC22" i="6" s="1"/>
  <c r="BC23" i="6" s="1"/>
  <c r="BC24" i="6" s="1"/>
  <c r="BC25" i="6" s="1"/>
  <c r="BC26" i="6" s="1"/>
  <c r="BC27" i="6" s="1"/>
  <c r="BC28" i="6" s="1"/>
  <c r="BC29" i="6" s="1"/>
  <c r="BC30" i="6" s="1"/>
  <c r="BC31" i="6" s="1"/>
  <c r="BC32" i="6" s="1"/>
  <c r="BC33" i="6" s="1"/>
  <c r="BC34" i="6" s="1"/>
  <c r="BC35" i="6" s="1"/>
  <c r="BC36" i="6" s="1"/>
  <c r="BC37" i="6" s="1"/>
  <c r="BC38" i="6" s="1"/>
  <c r="BC39" i="6" s="1"/>
  <c r="BC40" i="6" s="1"/>
  <c r="BC41" i="6" s="1"/>
  <c r="BC42" i="6" s="1"/>
  <c r="BC43" i="6" s="1"/>
  <c r="BC44" i="6" s="1"/>
  <c r="BC45" i="6" s="1"/>
  <c r="BC46" i="6" s="1"/>
  <c r="BC47" i="6" s="1"/>
  <c r="BC48" i="6" s="1"/>
  <c r="BC49" i="6" s="1"/>
  <c r="BC50" i="6" s="1"/>
  <c r="BC51" i="6" s="1"/>
  <c r="BC52" i="6" s="1"/>
  <c r="BC53" i="6" s="1"/>
  <c r="BC54" i="6" s="1"/>
  <c r="BC55" i="6" s="1"/>
  <c r="BC56" i="6" s="1"/>
  <c r="BC57" i="6" s="1"/>
  <c r="BC58" i="6" s="1"/>
  <c r="BC59" i="6" s="1"/>
  <c r="BC60" i="6" s="1"/>
  <c r="BC61" i="6" s="1"/>
  <c r="BC62" i="6" s="1"/>
  <c r="BC63" i="6" s="1"/>
  <c r="BC64" i="6" s="1"/>
  <c r="BC65" i="6" s="1"/>
  <c r="BC66" i="6" s="1"/>
  <c r="BC67" i="6" s="1"/>
  <c r="BC68" i="6" s="1"/>
  <c r="BC69" i="6" s="1"/>
  <c r="BC70" i="6" s="1"/>
  <c r="BC71" i="6" s="1"/>
  <c r="BC72" i="6" s="1"/>
  <c r="BC73" i="6" s="1"/>
  <c r="BC74" i="6" s="1"/>
  <c r="BC75" i="6" s="1"/>
  <c r="BC76" i="6" s="1"/>
  <c r="BC77" i="6" s="1"/>
  <c r="BC78" i="6" s="1"/>
  <c r="BC79" i="6" s="1"/>
  <c r="BC80" i="6" s="1"/>
  <c r="BC81" i="6" s="1"/>
  <c r="BC82" i="6" s="1"/>
  <c r="BC83" i="6" s="1"/>
  <c r="BC84" i="6" s="1"/>
  <c r="BC85" i="6" s="1"/>
  <c r="BC86" i="6" s="1"/>
  <c r="BC87" i="6" s="1"/>
  <c r="BC88" i="6" s="1"/>
  <c r="BC89" i="6" s="1"/>
  <c r="BC90" i="6" s="1"/>
  <c r="BC91" i="6" s="1"/>
  <c r="BC92" i="6" s="1"/>
  <c r="BC93" i="6" s="1"/>
  <c r="BC94" i="6" s="1"/>
  <c r="BC95" i="6" s="1"/>
  <c r="BC96" i="6" s="1"/>
  <c r="BC97" i="6" s="1"/>
  <c r="BC98" i="6" s="1"/>
  <c r="BC99" i="6" s="1"/>
  <c r="BC100" i="6" s="1"/>
  <c r="BC101" i="6" s="1"/>
  <c r="BC102" i="6" s="1"/>
  <c r="BC103" i="6" s="1"/>
  <c r="BC104" i="6" s="1"/>
  <c r="BC105" i="6" s="1"/>
  <c r="BC106" i="6" s="1"/>
  <c r="BC107" i="6" s="1"/>
  <c r="BC108" i="6" s="1"/>
  <c r="BC109" i="6" s="1"/>
  <c r="BC110" i="6" s="1"/>
  <c r="BC111" i="6" s="1"/>
  <c r="BC112" i="6" s="1"/>
  <c r="BC113" i="6" s="1"/>
  <c r="BC114" i="6" s="1"/>
  <c r="BC115" i="6" s="1"/>
  <c r="BC116" i="6" s="1"/>
  <c r="BC117" i="6" s="1"/>
  <c r="BC118" i="6" s="1"/>
  <c r="BC119" i="6" s="1"/>
  <c r="BC120" i="6" s="1"/>
  <c r="BC121" i="6" s="1"/>
  <c r="BC122" i="6" s="1"/>
  <c r="BC123" i="6" s="1"/>
  <c r="BC124" i="6" s="1"/>
  <c r="BC125" i="6" s="1"/>
  <c r="BC126" i="6" s="1"/>
  <c r="BC127" i="6" s="1"/>
  <c r="BC128" i="6" s="1"/>
  <c r="AZ9" i="6"/>
  <c r="AX9" i="6"/>
  <c r="AW9" i="6"/>
  <c r="AV9" i="6"/>
  <c r="AT9" i="6"/>
  <c r="BA9" i="6" s="1"/>
  <c r="AO9" i="6"/>
  <c r="AO10" i="6" s="1"/>
  <c r="I9" i="6"/>
  <c r="B9" i="6"/>
  <c r="B10" i="6" s="1"/>
  <c r="AZ8" i="6"/>
  <c r="AX8" i="6"/>
  <c r="AW8" i="6"/>
  <c r="AT8" i="6"/>
  <c r="BA8" i="6" s="1"/>
  <c r="AR8" i="6"/>
  <c r="AY8" i="6" s="1"/>
  <c r="I8" i="6"/>
  <c r="G8" i="6"/>
  <c r="BE6" i="6"/>
  <c r="AX6" i="6"/>
  <c r="AY6" i="6" s="1"/>
  <c r="AZ6" i="6" s="1"/>
  <c r="BA6" i="6" s="1"/>
  <c r="AQ6" i="6"/>
  <c r="AR6" i="6" s="1"/>
  <c r="AS6" i="6" s="1"/>
  <c r="AT6" i="6" s="1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K5" i="6"/>
  <c r="L5" i="6" s="1"/>
  <c r="J5" i="6"/>
  <c r="J20" i="6" s="1"/>
  <c r="H5" i="6"/>
  <c r="H4" i="6"/>
  <c r="L1" i="6"/>
  <c r="J1" i="6"/>
  <c r="H1" i="6"/>
  <c r="AL63" i="2"/>
  <c r="AK63" i="2"/>
  <c r="AI63" i="2"/>
  <c r="T85" i="6" s="1"/>
  <c r="AH63" i="2"/>
  <c r="S85" i="6" s="1"/>
  <c r="AC63" i="2"/>
  <c r="P85" i="6" s="1"/>
  <c r="AB63" i="2"/>
  <c r="O85" i="6" s="1"/>
  <c r="Z63" i="2"/>
  <c r="N85" i="6" s="1"/>
  <c r="Y63" i="2"/>
  <c r="M85" i="6" s="1"/>
  <c r="AL62" i="2"/>
  <c r="AK62" i="2"/>
  <c r="AI62" i="2"/>
  <c r="T84" i="6" s="1"/>
  <c r="AH62" i="2"/>
  <c r="S84" i="6" s="1"/>
  <c r="AC62" i="2"/>
  <c r="P84" i="6" s="1"/>
  <c r="AB62" i="2"/>
  <c r="O84" i="6" s="1"/>
  <c r="Z62" i="2"/>
  <c r="N84" i="6" s="1"/>
  <c r="Y62" i="2"/>
  <c r="M84" i="6" s="1"/>
  <c r="AL61" i="2"/>
  <c r="AK61" i="2"/>
  <c r="AI61" i="2"/>
  <c r="T83" i="6" s="1"/>
  <c r="AH61" i="2"/>
  <c r="S83" i="6" s="1"/>
  <c r="AC61" i="2"/>
  <c r="P83" i="6" s="1"/>
  <c r="AB61" i="2"/>
  <c r="O83" i="6" s="1"/>
  <c r="Z61" i="2"/>
  <c r="N83" i="6" s="1"/>
  <c r="Y61" i="2"/>
  <c r="M83" i="6" s="1"/>
  <c r="AL60" i="2"/>
  <c r="AK60" i="2"/>
  <c r="AI60" i="2"/>
  <c r="T82" i="6" s="1"/>
  <c r="AH60" i="2"/>
  <c r="S82" i="6" s="1"/>
  <c r="AC60" i="2"/>
  <c r="P82" i="6" s="1"/>
  <c r="AB60" i="2"/>
  <c r="O82" i="6" s="1"/>
  <c r="Z60" i="2"/>
  <c r="N82" i="6" s="1"/>
  <c r="Y60" i="2"/>
  <c r="M82" i="6" s="1"/>
  <c r="AL59" i="2"/>
  <c r="AK59" i="2"/>
  <c r="AI59" i="2"/>
  <c r="T81" i="6" s="1"/>
  <c r="AH59" i="2"/>
  <c r="S81" i="6" s="1"/>
  <c r="AC59" i="2"/>
  <c r="P81" i="6" s="1"/>
  <c r="AB59" i="2"/>
  <c r="O81" i="6" s="1"/>
  <c r="Z59" i="2"/>
  <c r="N81" i="6" s="1"/>
  <c r="Y59" i="2"/>
  <c r="M81" i="6" s="1"/>
  <c r="AL58" i="2"/>
  <c r="AK58" i="2"/>
  <c r="AI58" i="2"/>
  <c r="T80" i="6" s="1"/>
  <c r="AH58" i="2"/>
  <c r="S80" i="6" s="1"/>
  <c r="AC58" i="2"/>
  <c r="P80" i="6" s="1"/>
  <c r="AB58" i="2"/>
  <c r="O80" i="6" s="1"/>
  <c r="Z58" i="2"/>
  <c r="N80" i="6" s="1"/>
  <c r="Y58" i="2"/>
  <c r="M80" i="6" s="1"/>
  <c r="AL57" i="2"/>
  <c r="AK57" i="2"/>
  <c r="AI57" i="2"/>
  <c r="T79" i="6" s="1"/>
  <c r="AH57" i="2"/>
  <c r="S79" i="6" s="1"/>
  <c r="AC57" i="2"/>
  <c r="P79" i="6" s="1"/>
  <c r="AB57" i="2"/>
  <c r="O79" i="6" s="1"/>
  <c r="Z57" i="2"/>
  <c r="N79" i="6" s="1"/>
  <c r="Y57" i="2"/>
  <c r="M79" i="6" s="1"/>
  <c r="AL56" i="2"/>
  <c r="AK56" i="2"/>
  <c r="AI56" i="2"/>
  <c r="T78" i="6" s="1"/>
  <c r="AH56" i="2"/>
  <c r="S78" i="6" s="1"/>
  <c r="AC56" i="2"/>
  <c r="P78" i="6" s="1"/>
  <c r="AB56" i="2"/>
  <c r="O78" i="6" s="1"/>
  <c r="Z56" i="2"/>
  <c r="N78" i="6" s="1"/>
  <c r="Y56" i="2"/>
  <c r="M78" i="6" s="1"/>
  <c r="AL55" i="2"/>
  <c r="AK55" i="2"/>
  <c r="AI55" i="2"/>
  <c r="T77" i="6" s="1"/>
  <c r="AH55" i="2"/>
  <c r="S77" i="6" s="1"/>
  <c r="AC55" i="2"/>
  <c r="P77" i="6" s="1"/>
  <c r="AB55" i="2"/>
  <c r="O77" i="6" s="1"/>
  <c r="Z55" i="2"/>
  <c r="N77" i="6" s="1"/>
  <c r="Y55" i="2"/>
  <c r="M77" i="6" s="1"/>
  <c r="AL54" i="2"/>
  <c r="AK54" i="2"/>
  <c r="AI54" i="2"/>
  <c r="T76" i="6" s="1"/>
  <c r="AH54" i="2"/>
  <c r="S76" i="6" s="1"/>
  <c r="AC54" i="2"/>
  <c r="P76" i="6" s="1"/>
  <c r="AB54" i="2"/>
  <c r="O76" i="6" s="1"/>
  <c r="Z54" i="2"/>
  <c r="N76" i="6" s="1"/>
  <c r="Y54" i="2"/>
  <c r="M76" i="6" s="1"/>
  <c r="AL53" i="2"/>
  <c r="AK53" i="2"/>
  <c r="AI53" i="2"/>
  <c r="T75" i="6" s="1"/>
  <c r="AH53" i="2"/>
  <c r="S75" i="6" s="1"/>
  <c r="AF53" i="2"/>
  <c r="R75" i="6" s="1"/>
  <c r="AC53" i="2"/>
  <c r="P75" i="6" s="1"/>
  <c r="AB53" i="2"/>
  <c r="O75" i="6" s="1"/>
  <c r="Z53" i="2"/>
  <c r="N75" i="6" s="1"/>
  <c r="Y53" i="2"/>
  <c r="M75" i="6" s="1"/>
  <c r="AL52" i="2"/>
  <c r="AK52" i="2"/>
  <c r="AI52" i="2"/>
  <c r="T74" i="6" s="1"/>
  <c r="AH52" i="2"/>
  <c r="S74" i="6" s="1"/>
  <c r="AC52" i="2"/>
  <c r="P74" i="6" s="1"/>
  <c r="AB52" i="2"/>
  <c r="O74" i="6" s="1"/>
  <c r="Z52" i="2"/>
  <c r="N74" i="6" s="1"/>
  <c r="Y52" i="2"/>
  <c r="M74" i="6" s="1"/>
  <c r="AL51" i="2"/>
  <c r="AK51" i="2"/>
  <c r="AI51" i="2"/>
  <c r="T73" i="6" s="1"/>
  <c r="AH51" i="2"/>
  <c r="S73" i="6" s="1"/>
  <c r="AC51" i="2"/>
  <c r="P73" i="6" s="1"/>
  <c r="AB51" i="2"/>
  <c r="O73" i="6" s="1"/>
  <c r="Z51" i="2"/>
  <c r="N73" i="6" s="1"/>
  <c r="Y51" i="2"/>
  <c r="M73" i="6" s="1"/>
  <c r="AL50" i="2"/>
  <c r="AK50" i="2"/>
  <c r="AI50" i="2"/>
  <c r="T72" i="6" s="1"/>
  <c r="AH50" i="2"/>
  <c r="S72" i="6" s="1"/>
  <c r="AC50" i="2"/>
  <c r="P72" i="6" s="1"/>
  <c r="AB50" i="2"/>
  <c r="O72" i="6" s="1"/>
  <c r="Z50" i="2"/>
  <c r="N72" i="6" s="1"/>
  <c r="Y50" i="2"/>
  <c r="M72" i="6" s="1"/>
  <c r="AL49" i="2"/>
  <c r="AK49" i="2"/>
  <c r="AI49" i="2"/>
  <c r="T71" i="6" s="1"/>
  <c r="AH49" i="2"/>
  <c r="S71" i="6" s="1"/>
  <c r="AC49" i="2"/>
  <c r="P71" i="6" s="1"/>
  <c r="AB49" i="2"/>
  <c r="O71" i="6" s="1"/>
  <c r="Z49" i="2"/>
  <c r="N71" i="6" s="1"/>
  <c r="Y49" i="2"/>
  <c r="M71" i="6" s="1"/>
  <c r="AL48" i="2"/>
  <c r="AK48" i="2"/>
  <c r="AI48" i="2"/>
  <c r="T70" i="6" s="1"/>
  <c r="AH48" i="2"/>
  <c r="S70" i="6" s="1"/>
  <c r="AE48" i="2"/>
  <c r="Q70" i="6" s="1"/>
  <c r="I70" i="6" s="1"/>
  <c r="AC48" i="2"/>
  <c r="P70" i="6" s="1"/>
  <c r="AB48" i="2"/>
  <c r="O70" i="6" s="1"/>
  <c r="Z48" i="2"/>
  <c r="N70" i="6" s="1"/>
  <c r="Y48" i="2"/>
  <c r="M70" i="6" s="1"/>
  <c r="AL47" i="2"/>
  <c r="AK47" i="2"/>
  <c r="AI47" i="2"/>
  <c r="T69" i="6" s="1"/>
  <c r="AH47" i="2"/>
  <c r="S69" i="6" s="1"/>
  <c r="AE47" i="2"/>
  <c r="Q69" i="6" s="1"/>
  <c r="I69" i="6" s="1"/>
  <c r="AC47" i="2"/>
  <c r="P69" i="6" s="1"/>
  <c r="AB47" i="2"/>
  <c r="O69" i="6" s="1"/>
  <c r="Z47" i="2"/>
  <c r="N69" i="6" s="1"/>
  <c r="Y47" i="2"/>
  <c r="M69" i="6" s="1"/>
  <c r="AL46" i="2"/>
  <c r="AK46" i="2"/>
  <c r="AI46" i="2"/>
  <c r="T68" i="6" s="1"/>
  <c r="AH46" i="2"/>
  <c r="S68" i="6" s="1"/>
  <c r="AC46" i="2"/>
  <c r="P68" i="6" s="1"/>
  <c r="AB46" i="2"/>
  <c r="O68" i="6" s="1"/>
  <c r="Z46" i="2"/>
  <c r="N68" i="6" s="1"/>
  <c r="Y46" i="2"/>
  <c r="M68" i="6" s="1"/>
  <c r="AL45" i="2"/>
  <c r="AK45" i="2"/>
  <c r="AI45" i="2"/>
  <c r="T67" i="6" s="1"/>
  <c r="AH45" i="2"/>
  <c r="S67" i="6" s="1"/>
  <c r="AF45" i="2"/>
  <c r="R67" i="6" s="1"/>
  <c r="AC45" i="2"/>
  <c r="P67" i="6" s="1"/>
  <c r="AB45" i="2"/>
  <c r="O67" i="6" s="1"/>
  <c r="Z45" i="2"/>
  <c r="N67" i="6" s="1"/>
  <c r="Y45" i="2"/>
  <c r="M67" i="6" s="1"/>
  <c r="AL44" i="2"/>
  <c r="AK44" i="2"/>
  <c r="AI44" i="2"/>
  <c r="T66" i="6" s="1"/>
  <c r="AH44" i="2"/>
  <c r="S66" i="6" s="1"/>
  <c r="AC44" i="2"/>
  <c r="P66" i="6" s="1"/>
  <c r="AB44" i="2"/>
  <c r="O66" i="6" s="1"/>
  <c r="Z44" i="2"/>
  <c r="N66" i="6" s="1"/>
  <c r="Y44" i="2"/>
  <c r="M66" i="6" s="1"/>
  <c r="AL43" i="2"/>
  <c r="AK43" i="2"/>
  <c r="AI43" i="2"/>
  <c r="T65" i="6" s="1"/>
  <c r="AH43" i="2"/>
  <c r="S65" i="6" s="1"/>
  <c r="AE43" i="2"/>
  <c r="Q65" i="6" s="1"/>
  <c r="I65" i="6" s="1"/>
  <c r="AC43" i="2"/>
  <c r="P65" i="6" s="1"/>
  <c r="AB43" i="2"/>
  <c r="O65" i="6" s="1"/>
  <c r="Z43" i="2"/>
  <c r="N65" i="6" s="1"/>
  <c r="Y43" i="2"/>
  <c r="M65" i="6" s="1"/>
  <c r="AL42" i="2"/>
  <c r="AK42" i="2"/>
  <c r="AI42" i="2"/>
  <c r="T64" i="6" s="1"/>
  <c r="AH42" i="2"/>
  <c r="S64" i="6" s="1"/>
  <c r="AE42" i="2"/>
  <c r="Q64" i="6" s="1"/>
  <c r="I64" i="6" s="1"/>
  <c r="AC42" i="2"/>
  <c r="P64" i="6" s="1"/>
  <c r="AB42" i="2"/>
  <c r="O64" i="6" s="1"/>
  <c r="Z42" i="2"/>
  <c r="N64" i="6" s="1"/>
  <c r="Y42" i="2"/>
  <c r="M64" i="6" s="1"/>
  <c r="AL41" i="2"/>
  <c r="AK41" i="2"/>
  <c r="AI41" i="2"/>
  <c r="T63" i="6" s="1"/>
  <c r="AH41" i="2"/>
  <c r="S63" i="6" s="1"/>
  <c r="AC41" i="2"/>
  <c r="P63" i="6" s="1"/>
  <c r="AB41" i="2"/>
  <c r="O63" i="6" s="1"/>
  <c r="Z41" i="2"/>
  <c r="N63" i="6" s="1"/>
  <c r="Y41" i="2"/>
  <c r="M63" i="6" s="1"/>
  <c r="AL40" i="2"/>
  <c r="AK40" i="2"/>
  <c r="AI40" i="2"/>
  <c r="T62" i="6" s="1"/>
  <c r="AH40" i="2"/>
  <c r="S62" i="6" s="1"/>
  <c r="AF40" i="2"/>
  <c r="R62" i="6" s="1"/>
  <c r="AE40" i="2"/>
  <c r="Q62" i="6" s="1"/>
  <c r="I62" i="6" s="1"/>
  <c r="AC40" i="2"/>
  <c r="P62" i="6" s="1"/>
  <c r="AB40" i="2"/>
  <c r="O62" i="6" s="1"/>
  <c r="Z40" i="2"/>
  <c r="N62" i="6" s="1"/>
  <c r="Y40" i="2"/>
  <c r="M62" i="6" s="1"/>
  <c r="AL39" i="2"/>
  <c r="AK39" i="2"/>
  <c r="AI39" i="2"/>
  <c r="T61" i="6" s="1"/>
  <c r="AH39" i="2"/>
  <c r="S61" i="6" s="1"/>
  <c r="AE39" i="2"/>
  <c r="Q61" i="6" s="1"/>
  <c r="I61" i="6" s="1"/>
  <c r="AC39" i="2"/>
  <c r="P61" i="6" s="1"/>
  <c r="AB39" i="2"/>
  <c r="O61" i="6" s="1"/>
  <c r="Z39" i="2"/>
  <c r="N61" i="6" s="1"/>
  <c r="Y39" i="2"/>
  <c r="M61" i="6" s="1"/>
  <c r="AL38" i="2"/>
  <c r="AK38" i="2"/>
  <c r="AI38" i="2"/>
  <c r="T60" i="6" s="1"/>
  <c r="AH38" i="2"/>
  <c r="S60" i="6" s="1"/>
  <c r="AC38" i="2"/>
  <c r="P60" i="6" s="1"/>
  <c r="AB38" i="2"/>
  <c r="O60" i="6" s="1"/>
  <c r="Z38" i="2"/>
  <c r="N60" i="6" s="1"/>
  <c r="Y38" i="2"/>
  <c r="M60" i="6" s="1"/>
  <c r="AL37" i="2"/>
  <c r="AK37" i="2"/>
  <c r="AI37" i="2"/>
  <c r="T59" i="6" s="1"/>
  <c r="AH37" i="2"/>
  <c r="S59" i="6" s="1"/>
  <c r="AF37" i="2"/>
  <c r="R59" i="6" s="1"/>
  <c r="AC37" i="2"/>
  <c r="P59" i="6" s="1"/>
  <c r="AB37" i="2"/>
  <c r="O59" i="6" s="1"/>
  <c r="Z37" i="2"/>
  <c r="N59" i="6" s="1"/>
  <c r="Y37" i="2"/>
  <c r="M59" i="6" s="1"/>
  <c r="AL36" i="2"/>
  <c r="AK36" i="2"/>
  <c r="AI36" i="2"/>
  <c r="T58" i="6" s="1"/>
  <c r="AH36" i="2"/>
  <c r="S58" i="6" s="1"/>
  <c r="AF36" i="2"/>
  <c r="R58" i="6" s="1"/>
  <c r="AC36" i="2"/>
  <c r="P58" i="6" s="1"/>
  <c r="AB36" i="2"/>
  <c r="O58" i="6" s="1"/>
  <c r="Z36" i="2"/>
  <c r="N58" i="6" s="1"/>
  <c r="Y36" i="2"/>
  <c r="M58" i="6" s="1"/>
  <c r="AL35" i="2"/>
  <c r="AK35" i="2"/>
  <c r="AI35" i="2"/>
  <c r="T57" i="6" s="1"/>
  <c r="AH35" i="2"/>
  <c r="S57" i="6" s="1"/>
  <c r="AE35" i="2"/>
  <c r="Q57" i="6" s="1"/>
  <c r="I57" i="6" s="1"/>
  <c r="AC35" i="2"/>
  <c r="P57" i="6" s="1"/>
  <c r="AB35" i="2"/>
  <c r="O57" i="6" s="1"/>
  <c r="Z35" i="2"/>
  <c r="N57" i="6" s="1"/>
  <c r="Y35" i="2"/>
  <c r="M57" i="6" s="1"/>
  <c r="AL34" i="2"/>
  <c r="AK34" i="2"/>
  <c r="AI34" i="2"/>
  <c r="T56" i="6" s="1"/>
  <c r="AH34" i="2"/>
  <c r="S56" i="6" s="1"/>
  <c r="AF34" i="2"/>
  <c r="R56" i="6" s="1"/>
  <c r="AE34" i="2"/>
  <c r="Q56" i="6" s="1"/>
  <c r="I56" i="6" s="1"/>
  <c r="AC34" i="2"/>
  <c r="P56" i="6" s="1"/>
  <c r="AB34" i="2"/>
  <c r="O56" i="6" s="1"/>
  <c r="Z34" i="2"/>
  <c r="N56" i="6" s="1"/>
  <c r="Y34" i="2"/>
  <c r="M56" i="6" s="1"/>
  <c r="AL33" i="2"/>
  <c r="AK33" i="2"/>
  <c r="AI33" i="2"/>
  <c r="T55" i="6" s="1"/>
  <c r="AH33" i="2"/>
  <c r="S55" i="6" s="1"/>
  <c r="AF33" i="2"/>
  <c r="R55" i="6" s="1"/>
  <c r="AC33" i="2"/>
  <c r="P55" i="6" s="1"/>
  <c r="AB33" i="2"/>
  <c r="O55" i="6" s="1"/>
  <c r="Z33" i="2"/>
  <c r="N55" i="6" s="1"/>
  <c r="Y33" i="2"/>
  <c r="M55" i="6" s="1"/>
  <c r="AL32" i="2"/>
  <c r="AK32" i="2"/>
  <c r="AI32" i="2"/>
  <c r="T54" i="6" s="1"/>
  <c r="AH32" i="2"/>
  <c r="S54" i="6" s="1"/>
  <c r="AF32" i="2"/>
  <c r="R54" i="6" s="1"/>
  <c r="AE32" i="2"/>
  <c r="Q54" i="6" s="1"/>
  <c r="I54" i="6" s="1"/>
  <c r="AC32" i="2"/>
  <c r="P54" i="6" s="1"/>
  <c r="AB32" i="2"/>
  <c r="O54" i="6" s="1"/>
  <c r="Z32" i="2"/>
  <c r="N54" i="6" s="1"/>
  <c r="Y32" i="2"/>
  <c r="M54" i="6" s="1"/>
  <c r="AL31" i="2"/>
  <c r="AK31" i="2"/>
  <c r="AI31" i="2"/>
  <c r="T53" i="6" s="1"/>
  <c r="AH31" i="2"/>
  <c r="S53" i="6" s="1"/>
  <c r="AE31" i="2"/>
  <c r="Q53" i="6" s="1"/>
  <c r="I53" i="6" s="1"/>
  <c r="AC31" i="2"/>
  <c r="P53" i="6" s="1"/>
  <c r="AB31" i="2"/>
  <c r="O53" i="6" s="1"/>
  <c r="Z31" i="2"/>
  <c r="N53" i="6" s="1"/>
  <c r="Y31" i="2"/>
  <c r="M53" i="6" s="1"/>
  <c r="AL30" i="2"/>
  <c r="AK30" i="2"/>
  <c r="AI30" i="2"/>
  <c r="T52" i="6" s="1"/>
  <c r="AH30" i="2"/>
  <c r="S52" i="6" s="1"/>
  <c r="AE30" i="2"/>
  <c r="Q52" i="6" s="1"/>
  <c r="I52" i="6" s="1"/>
  <c r="AC30" i="2"/>
  <c r="P52" i="6" s="1"/>
  <c r="AB30" i="2"/>
  <c r="O52" i="6" s="1"/>
  <c r="Z30" i="2"/>
  <c r="N52" i="6" s="1"/>
  <c r="Y30" i="2"/>
  <c r="M52" i="6" s="1"/>
  <c r="AL29" i="2"/>
  <c r="AK29" i="2"/>
  <c r="AI29" i="2"/>
  <c r="T51" i="6" s="1"/>
  <c r="AH29" i="2"/>
  <c r="S51" i="6" s="1"/>
  <c r="AF29" i="2"/>
  <c r="R51" i="6" s="1"/>
  <c r="AC29" i="2"/>
  <c r="P51" i="6" s="1"/>
  <c r="AB29" i="2"/>
  <c r="O51" i="6" s="1"/>
  <c r="Z29" i="2"/>
  <c r="N51" i="6" s="1"/>
  <c r="Y29" i="2"/>
  <c r="M51" i="6" s="1"/>
  <c r="AL28" i="2"/>
  <c r="AK28" i="2"/>
  <c r="AI28" i="2"/>
  <c r="T50" i="6" s="1"/>
  <c r="AH28" i="2"/>
  <c r="S50" i="6" s="1"/>
  <c r="AF28" i="2"/>
  <c r="R50" i="6" s="1"/>
  <c r="AE28" i="2"/>
  <c r="Q50" i="6" s="1"/>
  <c r="I50" i="6" s="1"/>
  <c r="AC28" i="2"/>
  <c r="P50" i="6" s="1"/>
  <c r="AB28" i="2"/>
  <c r="O50" i="6" s="1"/>
  <c r="Z28" i="2"/>
  <c r="N50" i="6" s="1"/>
  <c r="Y28" i="2"/>
  <c r="M50" i="6" s="1"/>
  <c r="AL27" i="2"/>
  <c r="AK27" i="2"/>
  <c r="AI27" i="2"/>
  <c r="T49" i="6" s="1"/>
  <c r="AH27" i="2"/>
  <c r="S49" i="6" s="1"/>
  <c r="AE27" i="2"/>
  <c r="Q49" i="6" s="1"/>
  <c r="I49" i="6" s="1"/>
  <c r="AC27" i="2"/>
  <c r="P49" i="6" s="1"/>
  <c r="AB27" i="2"/>
  <c r="O49" i="6" s="1"/>
  <c r="Z27" i="2"/>
  <c r="N49" i="6" s="1"/>
  <c r="Y27" i="2"/>
  <c r="M49" i="6" s="1"/>
  <c r="AL26" i="2"/>
  <c r="AK26" i="2"/>
  <c r="AI26" i="2"/>
  <c r="T48" i="6" s="1"/>
  <c r="AH26" i="2"/>
  <c r="S48" i="6" s="1"/>
  <c r="AF26" i="2"/>
  <c r="R48" i="6" s="1"/>
  <c r="AE26" i="2"/>
  <c r="Q48" i="6" s="1"/>
  <c r="I48" i="6" s="1"/>
  <c r="AC26" i="2"/>
  <c r="P48" i="6" s="1"/>
  <c r="AB26" i="2"/>
  <c r="O48" i="6" s="1"/>
  <c r="Z26" i="2"/>
  <c r="N48" i="6" s="1"/>
  <c r="Y26" i="2"/>
  <c r="M48" i="6" s="1"/>
  <c r="AL25" i="2"/>
  <c r="AK25" i="2"/>
  <c r="AI25" i="2"/>
  <c r="T47" i="6" s="1"/>
  <c r="AH25" i="2"/>
  <c r="S47" i="6" s="1"/>
  <c r="AF25" i="2"/>
  <c r="R47" i="6" s="1"/>
  <c r="AE25" i="2"/>
  <c r="Q47" i="6" s="1"/>
  <c r="I47" i="6" s="1"/>
  <c r="AC25" i="2"/>
  <c r="P47" i="6" s="1"/>
  <c r="AB25" i="2"/>
  <c r="O47" i="6" s="1"/>
  <c r="Z25" i="2"/>
  <c r="N47" i="6" s="1"/>
  <c r="Y25" i="2"/>
  <c r="M47" i="6" s="1"/>
  <c r="AL24" i="2"/>
  <c r="AK24" i="2"/>
  <c r="AI24" i="2"/>
  <c r="T46" i="6" s="1"/>
  <c r="AH24" i="2"/>
  <c r="S46" i="6" s="1"/>
  <c r="AF24" i="2"/>
  <c r="R46" i="6" s="1"/>
  <c r="AE24" i="2"/>
  <c r="Q46" i="6" s="1"/>
  <c r="I46" i="6" s="1"/>
  <c r="AC24" i="2"/>
  <c r="P46" i="6" s="1"/>
  <c r="AB24" i="2"/>
  <c r="O46" i="6" s="1"/>
  <c r="Z24" i="2"/>
  <c r="N46" i="6" s="1"/>
  <c r="Y24" i="2"/>
  <c r="M46" i="6" s="1"/>
  <c r="AL23" i="2"/>
  <c r="AK23" i="2"/>
  <c r="AI23" i="2"/>
  <c r="T45" i="6" s="1"/>
  <c r="AH23" i="2"/>
  <c r="S45" i="6" s="1"/>
  <c r="AE23" i="2"/>
  <c r="Q45" i="6" s="1"/>
  <c r="I45" i="6" s="1"/>
  <c r="AC23" i="2"/>
  <c r="P45" i="6" s="1"/>
  <c r="AB23" i="2"/>
  <c r="O45" i="6" s="1"/>
  <c r="Z23" i="2"/>
  <c r="N45" i="6" s="1"/>
  <c r="Y23" i="2"/>
  <c r="M45" i="6" s="1"/>
  <c r="AL22" i="2"/>
  <c r="AK22" i="2"/>
  <c r="AI22" i="2"/>
  <c r="T44" i="6" s="1"/>
  <c r="AH22" i="2"/>
  <c r="S44" i="6" s="1"/>
  <c r="AF22" i="2"/>
  <c r="R44" i="6" s="1"/>
  <c r="J44" i="6" s="1"/>
  <c r="AE22" i="2"/>
  <c r="Q44" i="6" s="1"/>
  <c r="I44" i="6" s="1"/>
  <c r="AC22" i="2"/>
  <c r="P44" i="6" s="1"/>
  <c r="AB22" i="2"/>
  <c r="O44" i="6" s="1"/>
  <c r="Z22" i="2"/>
  <c r="N44" i="6" s="1"/>
  <c r="Y22" i="2"/>
  <c r="M44" i="6" s="1"/>
  <c r="AL21" i="2"/>
  <c r="AK21" i="2"/>
  <c r="AI21" i="2"/>
  <c r="T43" i="6" s="1"/>
  <c r="AH21" i="2"/>
  <c r="S43" i="6" s="1"/>
  <c r="AF21" i="2"/>
  <c r="R43" i="6" s="1"/>
  <c r="AE21" i="2"/>
  <c r="Q43" i="6" s="1"/>
  <c r="I43" i="6" s="1"/>
  <c r="AC21" i="2"/>
  <c r="P43" i="6" s="1"/>
  <c r="AB21" i="2"/>
  <c r="O43" i="6" s="1"/>
  <c r="Z21" i="2"/>
  <c r="N43" i="6" s="1"/>
  <c r="Y21" i="2"/>
  <c r="M43" i="6" s="1"/>
  <c r="AL20" i="2"/>
  <c r="AK20" i="2"/>
  <c r="AI20" i="2"/>
  <c r="T42" i="6" s="1"/>
  <c r="AH20" i="2"/>
  <c r="S42" i="6" s="1"/>
  <c r="AF20" i="2"/>
  <c r="R42" i="6" s="1"/>
  <c r="AE20" i="2"/>
  <c r="Q42" i="6" s="1"/>
  <c r="I42" i="6" s="1"/>
  <c r="AC20" i="2"/>
  <c r="P42" i="6" s="1"/>
  <c r="AB20" i="2"/>
  <c r="O42" i="6" s="1"/>
  <c r="Z20" i="2"/>
  <c r="N42" i="6" s="1"/>
  <c r="Y20" i="2"/>
  <c r="M42" i="6" s="1"/>
  <c r="AL19" i="2"/>
  <c r="AK19" i="2"/>
  <c r="AI19" i="2"/>
  <c r="T41" i="6" s="1"/>
  <c r="AH19" i="2"/>
  <c r="S41" i="6" s="1"/>
  <c r="AF19" i="2"/>
  <c r="R41" i="6" s="1"/>
  <c r="AE19" i="2"/>
  <c r="Q41" i="6" s="1"/>
  <c r="I41" i="6" s="1"/>
  <c r="AC19" i="2"/>
  <c r="P41" i="6" s="1"/>
  <c r="AB19" i="2"/>
  <c r="O41" i="6" s="1"/>
  <c r="Z19" i="2"/>
  <c r="N41" i="6" s="1"/>
  <c r="Y19" i="2"/>
  <c r="M41" i="6" s="1"/>
  <c r="AL18" i="2"/>
  <c r="AK18" i="2"/>
  <c r="AI18" i="2"/>
  <c r="T40" i="6" s="1"/>
  <c r="AH18" i="2"/>
  <c r="S40" i="6" s="1"/>
  <c r="AF18" i="2"/>
  <c r="R40" i="6" s="1"/>
  <c r="AE18" i="2"/>
  <c r="Q40" i="6" s="1"/>
  <c r="I40" i="6" s="1"/>
  <c r="AC18" i="2"/>
  <c r="P40" i="6" s="1"/>
  <c r="AB18" i="2"/>
  <c r="O40" i="6" s="1"/>
  <c r="Z18" i="2"/>
  <c r="N40" i="6" s="1"/>
  <c r="Y18" i="2"/>
  <c r="M40" i="6" s="1"/>
  <c r="AL17" i="2"/>
  <c r="AK17" i="2"/>
  <c r="AI17" i="2"/>
  <c r="T39" i="6" s="1"/>
  <c r="AH17" i="2"/>
  <c r="S39" i="6" s="1"/>
  <c r="AF17" i="2"/>
  <c r="R39" i="6" s="1"/>
  <c r="AE17" i="2"/>
  <c r="Q39" i="6" s="1"/>
  <c r="I39" i="6" s="1"/>
  <c r="AC17" i="2"/>
  <c r="P39" i="6" s="1"/>
  <c r="AB17" i="2"/>
  <c r="O39" i="6" s="1"/>
  <c r="Z17" i="2"/>
  <c r="N39" i="6" s="1"/>
  <c r="Y17" i="2"/>
  <c r="M39" i="6" s="1"/>
  <c r="AL16" i="2"/>
  <c r="AK16" i="2"/>
  <c r="AI16" i="2"/>
  <c r="T38" i="6" s="1"/>
  <c r="AH16" i="2"/>
  <c r="S38" i="6" s="1"/>
  <c r="AF16" i="2"/>
  <c r="R38" i="6" s="1"/>
  <c r="AE16" i="2"/>
  <c r="Q38" i="6" s="1"/>
  <c r="I38" i="6" s="1"/>
  <c r="AC16" i="2"/>
  <c r="P38" i="6" s="1"/>
  <c r="AB16" i="2"/>
  <c r="O38" i="6" s="1"/>
  <c r="Z16" i="2"/>
  <c r="N38" i="6" s="1"/>
  <c r="Y16" i="2"/>
  <c r="M38" i="6" s="1"/>
  <c r="AL15" i="2"/>
  <c r="AK15" i="2"/>
  <c r="AI15" i="2"/>
  <c r="T37" i="6" s="1"/>
  <c r="AH15" i="2"/>
  <c r="S37" i="6" s="1"/>
  <c r="AE15" i="2"/>
  <c r="Q37" i="6" s="1"/>
  <c r="I37" i="6" s="1"/>
  <c r="AC15" i="2"/>
  <c r="P37" i="6" s="1"/>
  <c r="AB15" i="2"/>
  <c r="O37" i="6" s="1"/>
  <c r="Z15" i="2"/>
  <c r="N37" i="6" s="1"/>
  <c r="Y15" i="2"/>
  <c r="M37" i="6" s="1"/>
  <c r="AL14" i="2"/>
  <c r="AK14" i="2"/>
  <c r="AI14" i="2"/>
  <c r="T36" i="6" s="1"/>
  <c r="AH14" i="2"/>
  <c r="S36" i="6" s="1"/>
  <c r="AF14" i="2"/>
  <c r="R36" i="6" s="1"/>
  <c r="AE14" i="2"/>
  <c r="Q36" i="6" s="1"/>
  <c r="I36" i="6" s="1"/>
  <c r="AC14" i="2"/>
  <c r="P36" i="6" s="1"/>
  <c r="AB14" i="2"/>
  <c r="O36" i="6" s="1"/>
  <c r="Z14" i="2"/>
  <c r="N36" i="6" s="1"/>
  <c r="Y14" i="2"/>
  <c r="M36" i="6" s="1"/>
  <c r="N14" i="2"/>
  <c r="AF59" i="2" s="1"/>
  <c r="R81" i="6" s="1"/>
  <c r="J81" i="6" s="1"/>
  <c r="AL13" i="2"/>
  <c r="AK13" i="2"/>
  <c r="AI13" i="2"/>
  <c r="T35" i="6" s="1"/>
  <c r="AH13" i="2"/>
  <c r="S35" i="6" s="1"/>
  <c r="AF13" i="2"/>
  <c r="R35" i="6" s="1"/>
  <c r="AE13" i="2"/>
  <c r="Q35" i="6" s="1"/>
  <c r="I35" i="6" s="1"/>
  <c r="AC13" i="2"/>
  <c r="P35" i="6" s="1"/>
  <c r="AB13" i="2"/>
  <c r="O35" i="6" s="1"/>
  <c r="Z13" i="2"/>
  <c r="N35" i="6" s="1"/>
  <c r="Y13" i="2"/>
  <c r="M35" i="6" s="1"/>
  <c r="AL12" i="2"/>
  <c r="AK12" i="2"/>
  <c r="AI12" i="2"/>
  <c r="T34" i="6" s="1"/>
  <c r="AH12" i="2"/>
  <c r="S34" i="6" s="1"/>
  <c r="AF12" i="2"/>
  <c r="R34" i="6" s="1"/>
  <c r="AE12" i="2"/>
  <c r="Q34" i="6" s="1"/>
  <c r="I34" i="6" s="1"/>
  <c r="AC12" i="2"/>
  <c r="P34" i="6" s="1"/>
  <c r="AB12" i="2"/>
  <c r="O34" i="6" s="1"/>
  <c r="Z12" i="2"/>
  <c r="N34" i="6" s="1"/>
  <c r="Y12" i="2"/>
  <c r="M34" i="6" s="1"/>
  <c r="AL11" i="2"/>
  <c r="AK11" i="2"/>
  <c r="AI11" i="2"/>
  <c r="T33" i="6" s="1"/>
  <c r="AH11" i="2"/>
  <c r="S33" i="6" s="1"/>
  <c r="AF11" i="2"/>
  <c r="R33" i="6" s="1"/>
  <c r="AE11" i="2"/>
  <c r="Q33" i="6" s="1"/>
  <c r="I33" i="6" s="1"/>
  <c r="AC11" i="2"/>
  <c r="P33" i="6" s="1"/>
  <c r="AB11" i="2"/>
  <c r="O33" i="6" s="1"/>
  <c r="Z11" i="2"/>
  <c r="N33" i="6" s="1"/>
  <c r="Y11" i="2"/>
  <c r="M33" i="6" s="1"/>
  <c r="AL10" i="2"/>
  <c r="AK10" i="2"/>
  <c r="AI10" i="2"/>
  <c r="T32" i="6" s="1"/>
  <c r="AH10" i="2"/>
  <c r="S32" i="6" s="1"/>
  <c r="AF10" i="2"/>
  <c r="R32" i="6" s="1"/>
  <c r="AE10" i="2"/>
  <c r="Q32" i="6" s="1"/>
  <c r="I32" i="6" s="1"/>
  <c r="AC10" i="2"/>
  <c r="P32" i="6" s="1"/>
  <c r="AB10" i="2"/>
  <c r="O32" i="6" s="1"/>
  <c r="Z10" i="2"/>
  <c r="N32" i="6" s="1"/>
  <c r="Y10" i="2"/>
  <c r="M32" i="6" s="1"/>
  <c r="AL9" i="2"/>
  <c r="AK9" i="2"/>
  <c r="AI9" i="2"/>
  <c r="T31" i="6" s="1"/>
  <c r="AH9" i="2"/>
  <c r="S31" i="6" s="1"/>
  <c r="AF9" i="2"/>
  <c r="R31" i="6" s="1"/>
  <c r="AE9" i="2"/>
  <c r="Q31" i="6" s="1"/>
  <c r="I31" i="6" s="1"/>
  <c r="AC9" i="2"/>
  <c r="P31" i="6" s="1"/>
  <c r="AB9" i="2"/>
  <c r="O31" i="6" s="1"/>
  <c r="Z9" i="2"/>
  <c r="N31" i="6" s="1"/>
  <c r="Y9" i="2"/>
  <c r="M31" i="6" s="1"/>
  <c r="AL8" i="2"/>
  <c r="AK8" i="2"/>
  <c r="AI8" i="2"/>
  <c r="T30" i="6" s="1"/>
  <c r="AH8" i="2"/>
  <c r="S30" i="6" s="1"/>
  <c r="AF8" i="2"/>
  <c r="R30" i="6" s="1"/>
  <c r="AE8" i="2"/>
  <c r="Q30" i="6" s="1"/>
  <c r="I30" i="6" s="1"/>
  <c r="AC8" i="2"/>
  <c r="P30" i="6" s="1"/>
  <c r="AB8" i="2"/>
  <c r="O30" i="6" s="1"/>
  <c r="Z8" i="2"/>
  <c r="N30" i="6" s="1"/>
  <c r="Y8" i="2"/>
  <c r="M30" i="6" s="1"/>
  <c r="AL7" i="2"/>
  <c r="AK7" i="2"/>
  <c r="AI7" i="2"/>
  <c r="T29" i="6" s="1"/>
  <c r="AH7" i="2"/>
  <c r="S29" i="6" s="1"/>
  <c r="AF7" i="2"/>
  <c r="R29" i="6" s="1"/>
  <c r="AE7" i="2"/>
  <c r="Q29" i="6" s="1"/>
  <c r="I29" i="6" s="1"/>
  <c r="AC7" i="2"/>
  <c r="P29" i="6" s="1"/>
  <c r="AB7" i="2"/>
  <c r="O29" i="6" s="1"/>
  <c r="Z7" i="2"/>
  <c r="N29" i="6" s="1"/>
  <c r="Y7" i="2"/>
  <c r="M29" i="6" s="1"/>
  <c r="AL6" i="2"/>
  <c r="AK6" i="2"/>
  <c r="AI6" i="2"/>
  <c r="T28" i="6" s="1"/>
  <c r="AH6" i="2"/>
  <c r="S28" i="6" s="1"/>
  <c r="AF6" i="2"/>
  <c r="R28" i="6" s="1"/>
  <c r="J28" i="6" s="1"/>
  <c r="AE6" i="2"/>
  <c r="Q28" i="6" s="1"/>
  <c r="I28" i="6" s="1"/>
  <c r="AC6" i="2"/>
  <c r="P28" i="6" s="1"/>
  <c r="AB6" i="2"/>
  <c r="O28" i="6" s="1"/>
  <c r="Z6" i="2"/>
  <c r="N28" i="6" s="1"/>
  <c r="Y6" i="2"/>
  <c r="M28" i="6" s="1"/>
  <c r="AL5" i="2"/>
  <c r="AK5" i="2"/>
  <c r="AI5" i="2"/>
  <c r="T27" i="6" s="1"/>
  <c r="AH5" i="2"/>
  <c r="S27" i="6" s="1"/>
  <c r="AF5" i="2"/>
  <c r="R27" i="6" s="1"/>
  <c r="AE5" i="2"/>
  <c r="Q27" i="6" s="1"/>
  <c r="I27" i="6" s="1"/>
  <c r="AC5" i="2"/>
  <c r="P27" i="6" s="1"/>
  <c r="AB5" i="2"/>
  <c r="O27" i="6" s="1"/>
  <c r="Z5" i="2"/>
  <c r="N27" i="6" s="1"/>
  <c r="Y5" i="2"/>
  <c r="M27" i="6" s="1"/>
  <c r="AL4" i="2"/>
  <c r="AK4" i="2"/>
  <c r="AI4" i="2"/>
  <c r="T26" i="6" s="1"/>
  <c r="AH4" i="2"/>
  <c r="S26" i="6" s="1"/>
  <c r="AF4" i="2"/>
  <c r="R26" i="6" s="1"/>
  <c r="AE4" i="2"/>
  <c r="Q26" i="6" s="1"/>
  <c r="I26" i="6" s="1"/>
  <c r="AC4" i="2"/>
  <c r="P26" i="6" s="1"/>
  <c r="AB4" i="2"/>
  <c r="O26" i="6" s="1"/>
  <c r="Z4" i="2"/>
  <c r="N26" i="6" s="1"/>
  <c r="Y4" i="2"/>
  <c r="M26" i="6" s="1"/>
  <c r="AT10" i="6" l="1"/>
  <c r="BA10" i="6" s="1"/>
  <c r="AO11" i="6"/>
  <c r="AT11" i="6" s="1"/>
  <c r="BA11" i="6" s="1"/>
  <c r="AR9" i="6"/>
  <c r="AY9" i="6" s="1"/>
  <c r="J75" i="6"/>
  <c r="J48" i="6"/>
  <c r="J43" i="6"/>
  <c r="J33" i="6"/>
  <c r="J56" i="6"/>
  <c r="J40" i="6"/>
  <c r="J55" i="6"/>
  <c r="J62" i="6"/>
  <c r="J36" i="6"/>
  <c r="J41" i="6"/>
  <c r="G9" i="6"/>
  <c r="J27" i="6"/>
  <c r="J35" i="6"/>
  <c r="J32" i="6"/>
  <c r="J29" i="6"/>
  <c r="J50" i="6"/>
  <c r="J34" i="6"/>
  <c r="J42" i="6"/>
  <c r="J59" i="6"/>
  <c r="J26" i="6"/>
  <c r="J47" i="6"/>
  <c r="J31" i="6"/>
  <c r="J39" i="6"/>
  <c r="J54" i="6"/>
  <c r="AR10" i="6"/>
  <c r="AY10" i="6" s="1"/>
  <c r="J13" i="6"/>
  <c r="J46" i="6"/>
  <c r="J51" i="6"/>
  <c r="J67" i="6"/>
  <c r="J30" i="6"/>
  <c r="J38" i="6"/>
  <c r="J58" i="6"/>
  <c r="J14" i="6"/>
  <c r="J11" i="6"/>
  <c r="B11" i="6"/>
  <c r="G10" i="6"/>
  <c r="L11" i="6"/>
  <c r="AE56" i="2"/>
  <c r="Q78" i="6" s="1"/>
  <c r="I78" i="6" s="1"/>
  <c r="K8" i="6"/>
  <c r="AF48" i="2"/>
  <c r="R70" i="6" s="1"/>
  <c r="J70" i="6" s="1"/>
  <c r="AF56" i="2"/>
  <c r="R78" i="6" s="1"/>
  <c r="J78" i="6" s="1"/>
  <c r="L8" i="6"/>
  <c r="AE29" i="2"/>
  <c r="Q51" i="6" s="1"/>
  <c r="I51" i="6" s="1"/>
  <c r="AE37" i="2"/>
  <c r="Q59" i="6" s="1"/>
  <c r="I59" i="6" s="1"/>
  <c r="AE45" i="2"/>
  <c r="Q67" i="6" s="1"/>
  <c r="I67" i="6" s="1"/>
  <c r="AE53" i="2"/>
  <c r="Q75" i="6" s="1"/>
  <c r="I75" i="6" s="1"/>
  <c r="AE61" i="2"/>
  <c r="Q83" i="6" s="1"/>
  <c r="I83" i="6" s="1"/>
  <c r="AR11" i="6"/>
  <c r="AY11" i="6" s="1"/>
  <c r="AO12" i="6"/>
  <c r="J15" i="6"/>
  <c r="J24" i="6"/>
  <c r="AF61" i="2"/>
  <c r="R83" i="6" s="1"/>
  <c r="J83" i="6" s="1"/>
  <c r="J16" i="6"/>
  <c r="J18" i="6"/>
  <c r="AE50" i="2"/>
  <c r="Q72" i="6" s="1"/>
  <c r="I72" i="6" s="1"/>
  <c r="AE58" i="2"/>
  <c r="Q80" i="6" s="1"/>
  <c r="I80" i="6" s="1"/>
  <c r="AF42" i="2"/>
  <c r="R64" i="6" s="1"/>
  <c r="J64" i="6" s="1"/>
  <c r="AF50" i="2"/>
  <c r="R72" i="6" s="1"/>
  <c r="J72" i="6" s="1"/>
  <c r="AF58" i="2"/>
  <c r="R80" i="6" s="1"/>
  <c r="J80" i="6" s="1"/>
  <c r="J21" i="6"/>
  <c r="AE55" i="2"/>
  <c r="Q77" i="6" s="1"/>
  <c r="I77" i="6" s="1"/>
  <c r="AE63" i="2"/>
  <c r="Q85" i="6" s="1"/>
  <c r="I85" i="6" s="1"/>
  <c r="AF15" i="2"/>
  <c r="R37" i="6" s="1"/>
  <c r="J37" i="6" s="1"/>
  <c r="AF23" i="2"/>
  <c r="R45" i="6" s="1"/>
  <c r="J45" i="6" s="1"/>
  <c r="AF31" i="2"/>
  <c r="R53" i="6" s="1"/>
  <c r="J53" i="6" s="1"/>
  <c r="AF39" i="2"/>
  <c r="R61" i="6" s="1"/>
  <c r="J61" i="6" s="1"/>
  <c r="AF47" i="2"/>
  <c r="R69" i="6" s="1"/>
  <c r="J69" i="6" s="1"/>
  <c r="AF55" i="2"/>
  <c r="R77" i="6" s="1"/>
  <c r="J77" i="6" s="1"/>
  <c r="AF63" i="2"/>
  <c r="R85" i="6" s="1"/>
  <c r="J85" i="6" s="1"/>
  <c r="AE36" i="2"/>
  <c r="Q58" i="6" s="1"/>
  <c r="I58" i="6" s="1"/>
  <c r="AE44" i="2"/>
  <c r="Q66" i="6" s="1"/>
  <c r="I66" i="6" s="1"/>
  <c r="AE52" i="2"/>
  <c r="Q74" i="6" s="1"/>
  <c r="I74" i="6" s="1"/>
  <c r="AE60" i="2"/>
  <c r="Q82" i="6" s="1"/>
  <c r="I82" i="6" s="1"/>
  <c r="AF44" i="2"/>
  <c r="R66" i="6" s="1"/>
  <c r="J66" i="6" s="1"/>
  <c r="AF52" i="2"/>
  <c r="R74" i="6" s="1"/>
  <c r="J74" i="6" s="1"/>
  <c r="AF60" i="2"/>
  <c r="R82" i="6" s="1"/>
  <c r="J82" i="6" s="1"/>
  <c r="J19" i="6"/>
  <c r="AE33" i="2"/>
  <c r="Q55" i="6" s="1"/>
  <c r="I55" i="6" s="1"/>
  <c r="AE41" i="2"/>
  <c r="Q63" i="6" s="1"/>
  <c r="I63" i="6" s="1"/>
  <c r="AE49" i="2"/>
  <c r="Q71" i="6" s="1"/>
  <c r="I71" i="6" s="1"/>
  <c r="AE57" i="2"/>
  <c r="Q79" i="6" s="1"/>
  <c r="I79" i="6" s="1"/>
  <c r="H9" i="6"/>
  <c r="AF41" i="2"/>
  <c r="R63" i="6" s="1"/>
  <c r="J63" i="6" s="1"/>
  <c r="AF49" i="2"/>
  <c r="R71" i="6" s="1"/>
  <c r="J71" i="6" s="1"/>
  <c r="AF57" i="2"/>
  <c r="R79" i="6" s="1"/>
  <c r="J79" i="6" s="1"/>
  <c r="H10" i="6"/>
  <c r="AE38" i="2"/>
  <c r="Q60" i="6" s="1"/>
  <c r="I60" i="6" s="1"/>
  <c r="AE46" i="2"/>
  <c r="Q68" i="6" s="1"/>
  <c r="I68" i="6" s="1"/>
  <c r="AE54" i="2"/>
  <c r="Q76" i="6" s="1"/>
  <c r="I76" i="6" s="1"/>
  <c r="AE62" i="2"/>
  <c r="Q84" i="6" s="1"/>
  <c r="I84" i="6" s="1"/>
  <c r="J9" i="6"/>
  <c r="H11" i="6"/>
  <c r="AF30" i="2"/>
  <c r="R52" i="6" s="1"/>
  <c r="J52" i="6" s="1"/>
  <c r="AF38" i="2"/>
  <c r="R60" i="6" s="1"/>
  <c r="J60" i="6" s="1"/>
  <c r="AF46" i="2"/>
  <c r="R68" i="6" s="1"/>
  <c r="J68" i="6" s="1"/>
  <c r="AF54" i="2"/>
  <c r="R76" i="6" s="1"/>
  <c r="J76" i="6" s="1"/>
  <c r="AF62" i="2"/>
  <c r="R84" i="6" s="1"/>
  <c r="J84" i="6" s="1"/>
  <c r="H8" i="6"/>
  <c r="K9" i="6"/>
  <c r="J10" i="6"/>
  <c r="J17" i="6"/>
  <c r="AE51" i="2"/>
  <c r="Q73" i="6" s="1"/>
  <c r="I73" i="6" s="1"/>
  <c r="AE59" i="2"/>
  <c r="Q81" i="6" s="1"/>
  <c r="I81" i="6" s="1"/>
  <c r="L9" i="6"/>
  <c r="K10" i="6"/>
  <c r="AF27" i="2"/>
  <c r="R49" i="6" s="1"/>
  <c r="J49" i="6" s="1"/>
  <c r="AF35" i="2"/>
  <c r="R57" i="6" s="1"/>
  <c r="J57" i="6" s="1"/>
  <c r="AF43" i="2"/>
  <c r="R65" i="6" s="1"/>
  <c r="J65" i="6" s="1"/>
  <c r="AF51" i="2"/>
  <c r="R73" i="6" s="1"/>
  <c r="J73" i="6" s="1"/>
  <c r="J124" i="6"/>
  <c r="J115" i="6"/>
  <c r="J122" i="6"/>
  <c r="J127" i="6"/>
  <c r="J104" i="6"/>
  <c r="J120" i="6"/>
  <c r="J108" i="6"/>
  <c r="J110" i="6"/>
  <c r="J117" i="6"/>
  <c r="J99" i="6"/>
  <c r="J92" i="6"/>
  <c r="J90" i="6"/>
  <c r="J118" i="6"/>
  <c r="J88" i="6"/>
  <c r="J86" i="6"/>
  <c r="J95" i="6"/>
  <c r="J102" i="6"/>
  <c r="J97" i="6"/>
  <c r="J91" i="6"/>
  <c r="J103" i="6"/>
  <c r="J106" i="6"/>
  <c r="J113" i="6"/>
  <c r="J25" i="6"/>
  <c r="J23" i="6"/>
  <c r="J22" i="6"/>
  <c r="J8" i="6"/>
  <c r="L10" i="6"/>
  <c r="K11" i="6"/>
  <c r="J12" i="6"/>
  <c r="J87" i="6"/>
  <c r="J94" i="6"/>
  <c r="J93" i="6"/>
  <c r="J107" i="6"/>
  <c r="J98" i="6"/>
  <c r="J89" i="6"/>
  <c r="J96" i="6"/>
  <c r="J100" i="6"/>
  <c r="J101" i="6"/>
  <c r="J111" i="6"/>
  <c r="J112" i="6"/>
  <c r="J119" i="6"/>
  <c r="J123" i="6"/>
  <c r="J125" i="6"/>
  <c r="J109" i="6"/>
  <c r="J121" i="6"/>
  <c r="J128" i="6"/>
  <c r="J114" i="6"/>
  <c r="J126" i="6"/>
  <c r="J105" i="6"/>
  <c r="J116" i="6"/>
  <c r="B12" i="6" l="1"/>
  <c r="G11" i="6"/>
  <c r="AT12" i="6"/>
  <c r="BA12" i="6" s="1"/>
  <c r="AO13" i="6"/>
  <c r="AR12" i="6"/>
  <c r="AY12" i="6" s="1"/>
  <c r="AT13" i="6" l="1"/>
  <c r="BA13" i="6" s="1"/>
  <c r="AO14" i="6"/>
  <c r="AR13" i="6"/>
  <c r="AY13" i="6" s="1"/>
  <c r="B13" i="6"/>
  <c r="G12" i="6"/>
  <c r="H12" i="6"/>
  <c r="L12" i="6"/>
  <c r="K12" i="6"/>
  <c r="B14" i="6" l="1"/>
  <c r="G13" i="6"/>
  <c r="L13" i="6"/>
  <c r="H13" i="6"/>
  <c r="K13" i="6"/>
  <c r="AT14" i="6"/>
  <c r="BA14" i="6" s="1"/>
  <c r="AO15" i="6"/>
  <c r="AR14" i="6"/>
  <c r="AY14" i="6" s="1"/>
  <c r="B15" i="6" l="1"/>
  <c r="G14" i="6"/>
  <c r="K14" i="6"/>
  <c r="L14" i="6"/>
  <c r="H14" i="6"/>
  <c r="AT15" i="6"/>
  <c r="BA15" i="6" s="1"/>
  <c r="AO16" i="6"/>
  <c r="AR15" i="6"/>
  <c r="AY15" i="6" s="1"/>
  <c r="AT16" i="6" l="1"/>
  <c r="BA16" i="6" s="1"/>
  <c r="AR16" i="6"/>
  <c r="AY16" i="6" s="1"/>
  <c r="AO17" i="6"/>
  <c r="B16" i="6"/>
  <c r="G15" i="6"/>
  <c r="H15" i="6"/>
  <c r="K15" i="6"/>
  <c r="L15" i="6"/>
  <c r="B17" i="6" l="1"/>
  <c r="H16" i="6"/>
  <c r="G16" i="6"/>
  <c r="K16" i="6"/>
  <c r="L16" i="6"/>
  <c r="AT17" i="6"/>
  <c r="BA17" i="6" s="1"/>
  <c r="AO18" i="6"/>
  <c r="AR17" i="6"/>
  <c r="AY17" i="6" s="1"/>
  <c r="AT18" i="6" l="1"/>
  <c r="BA18" i="6" s="1"/>
  <c r="AO19" i="6"/>
  <c r="AR18" i="6"/>
  <c r="AY18" i="6" s="1"/>
  <c r="B18" i="6"/>
  <c r="G17" i="6"/>
  <c r="H17" i="6"/>
  <c r="L17" i="6"/>
  <c r="K17" i="6"/>
  <c r="B19" i="6" l="1"/>
  <c r="H18" i="6"/>
  <c r="G18" i="6"/>
  <c r="K18" i="6"/>
  <c r="L18" i="6"/>
  <c r="AO20" i="6"/>
  <c r="AR19" i="6"/>
  <c r="AY19" i="6" s="1"/>
  <c r="AT19" i="6"/>
  <c r="BA19" i="6" s="1"/>
  <c r="AO21" i="6" l="1"/>
  <c r="AT20" i="6"/>
  <c r="BA20" i="6" s="1"/>
  <c r="AR20" i="6"/>
  <c r="AY20" i="6" s="1"/>
  <c r="B20" i="6"/>
  <c r="G19" i="6"/>
  <c r="H19" i="6"/>
  <c r="K19" i="6"/>
  <c r="L19" i="6"/>
  <c r="AO22" i="6" l="1"/>
  <c r="AT21" i="6"/>
  <c r="BA21" i="6" s="1"/>
  <c r="AR21" i="6"/>
  <c r="AY21" i="6" s="1"/>
  <c r="G20" i="6"/>
  <c r="B21" i="6"/>
  <c r="L20" i="6"/>
  <c r="H20" i="6"/>
  <c r="K20" i="6"/>
  <c r="AT22" i="6" l="1"/>
  <c r="BA22" i="6" s="1"/>
  <c r="AR22" i="6"/>
  <c r="AY22" i="6" s="1"/>
  <c r="AO23" i="6"/>
  <c r="B22" i="6"/>
  <c r="G21" i="6"/>
  <c r="L21" i="6"/>
  <c r="H21" i="6"/>
  <c r="K21" i="6"/>
  <c r="B23" i="6" l="1"/>
  <c r="G22" i="6"/>
  <c r="L22" i="6"/>
  <c r="K22" i="6"/>
  <c r="H22" i="6"/>
  <c r="AT23" i="6"/>
  <c r="BA23" i="6" s="1"/>
  <c r="AO24" i="6"/>
  <c r="AR23" i="6"/>
  <c r="AY23" i="6" s="1"/>
  <c r="AO25" i="6" l="1"/>
  <c r="AR24" i="6"/>
  <c r="AY24" i="6" s="1"/>
  <c r="AT24" i="6"/>
  <c r="BA24" i="6" s="1"/>
  <c r="B24" i="6"/>
  <c r="G23" i="6"/>
  <c r="H23" i="6"/>
  <c r="L23" i="6"/>
  <c r="K23" i="6"/>
  <c r="B25" i="6" l="1"/>
  <c r="G24" i="6"/>
  <c r="H24" i="6"/>
  <c r="L24" i="6"/>
  <c r="K24" i="6"/>
  <c r="AT25" i="6"/>
  <c r="BA25" i="6" s="1"/>
  <c r="AR25" i="6"/>
  <c r="AY25" i="6" s="1"/>
  <c r="AO26" i="6"/>
  <c r="B26" i="6" l="1"/>
  <c r="G25" i="6"/>
  <c r="H25" i="6"/>
  <c r="L25" i="6"/>
  <c r="K25" i="6"/>
  <c r="AO27" i="6"/>
  <c r="AT26" i="6"/>
  <c r="BA26" i="6" s="1"/>
  <c r="AR26" i="6"/>
  <c r="AY26" i="6" s="1"/>
  <c r="AO28" i="6" l="1"/>
  <c r="AT27" i="6"/>
  <c r="BA27" i="6" s="1"/>
  <c r="AR27" i="6"/>
  <c r="AY27" i="6" s="1"/>
  <c r="B27" i="6"/>
  <c r="K26" i="6"/>
  <c r="H26" i="6"/>
  <c r="G26" i="6"/>
  <c r="L26" i="6"/>
  <c r="AT28" i="6" l="1"/>
  <c r="BA28" i="6" s="1"/>
  <c r="AR28" i="6"/>
  <c r="AY28" i="6" s="1"/>
  <c r="AO29" i="6"/>
  <c r="B28" i="6"/>
  <c r="H27" i="6"/>
  <c r="G27" i="6"/>
  <c r="K27" i="6"/>
  <c r="L27" i="6"/>
  <c r="B29" i="6" l="1"/>
  <c r="G28" i="6"/>
  <c r="H28" i="6"/>
  <c r="K28" i="6"/>
  <c r="L28" i="6"/>
  <c r="AO30" i="6"/>
  <c r="AR29" i="6"/>
  <c r="AY29" i="6" s="1"/>
  <c r="AT29" i="6"/>
  <c r="BA29" i="6" s="1"/>
  <c r="AT30" i="6" l="1"/>
  <c r="BA30" i="6" s="1"/>
  <c r="AR30" i="6"/>
  <c r="AY30" i="6" s="1"/>
  <c r="AO31" i="6"/>
  <c r="B30" i="6"/>
  <c r="L29" i="6"/>
  <c r="G29" i="6"/>
  <c r="H29" i="6"/>
  <c r="K29" i="6"/>
  <c r="B31" i="6" l="1"/>
  <c r="G30" i="6"/>
  <c r="L30" i="6"/>
  <c r="H30" i="6"/>
  <c r="K30" i="6"/>
  <c r="AO32" i="6"/>
  <c r="AT31" i="6"/>
  <c r="BA31" i="6" s="1"/>
  <c r="AR31" i="6"/>
  <c r="AY31" i="6" s="1"/>
  <c r="AR32" i="6" l="1"/>
  <c r="AY32" i="6" s="1"/>
  <c r="AO33" i="6"/>
  <c r="AT32" i="6"/>
  <c r="BA32" i="6" s="1"/>
  <c r="B32" i="6"/>
  <c r="H31" i="6"/>
  <c r="L31" i="6"/>
  <c r="K31" i="6"/>
  <c r="G31" i="6"/>
  <c r="B33" i="6" l="1"/>
  <c r="L32" i="6"/>
  <c r="G32" i="6"/>
  <c r="H32" i="6"/>
  <c r="K32" i="6"/>
  <c r="AT33" i="6"/>
  <c r="BA33" i="6" s="1"/>
  <c r="AO34" i="6"/>
  <c r="AR33" i="6"/>
  <c r="AY33" i="6" s="1"/>
  <c r="AR34" i="6" l="1"/>
  <c r="AY34" i="6" s="1"/>
  <c r="AO35" i="6"/>
  <c r="AT34" i="6"/>
  <c r="BA34" i="6" s="1"/>
  <c r="B34" i="6"/>
  <c r="K33" i="6"/>
  <c r="L33" i="6"/>
  <c r="G33" i="6"/>
  <c r="H33" i="6"/>
  <c r="B35" i="6" l="1"/>
  <c r="H34" i="6"/>
  <c r="K34" i="6"/>
  <c r="G34" i="6"/>
  <c r="L34" i="6"/>
  <c r="AT35" i="6"/>
  <c r="BA35" i="6" s="1"/>
  <c r="AR35" i="6"/>
  <c r="AY35" i="6" s="1"/>
  <c r="AO36" i="6"/>
  <c r="AR36" i="6" l="1"/>
  <c r="AY36" i="6" s="1"/>
  <c r="AO37" i="6"/>
  <c r="AT36" i="6"/>
  <c r="BA36" i="6" s="1"/>
  <c r="B36" i="6"/>
  <c r="H35" i="6"/>
  <c r="L35" i="6"/>
  <c r="K35" i="6"/>
  <c r="G35" i="6"/>
  <c r="B37" i="6" l="1"/>
  <c r="G36" i="6"/>
  <c r="L36" i="6"/>
  <c r="H36" i="6"/>
  <c r="K36" i="6"/>
  <c r="AO38" i="6"/>
  <c r="AR37" i="6"/>
  <c r="AY37" i="6" s="1"/>
  <c r="AT37" i="6"/>
  <c r="BA37" i="6" s="1"/>
  <c r="B38" i="6" l="1"/>
  <c r="K37" i="6"/>
  <c r="H37" i="6"/>
  <c r="G37" i="6"/>
  <c r="L37" i="6"/>
  <c r="AR38" i="6"/>
  <c r="AY38" i="6" s="1"/>
  <c r="AO39" i="6"/>
  <c r="AT38" i="6"/>
  <c r="BA38" i="6" s="1"/>
  <c r="AO40" i="6" l="1"/>
  <c r="AR39" i="6"/>
  <c r="AY39" i="6" s="1"/>
  <c r="AT39" i="6"/>
  <c r="BA39" i="6" s="1"/>
  <c r="B39" i="6"/>
  <c r="L38" i="6"/>
  <c r="K38" i="6"/>
  <c r="G38" i="6"/>
  <c r="H38" i="6"/>
  <c r="B40" i="6" l="1"/>
  <c r="H39" i="6"/>
  <c r="K39" i="6"/>
  <c r="G39" i="6"/>
  <c r="L39" i="6"/>
  <c r="AT40" i="6"/>
  <c r="BA40" i="6" s="1"/>
  <c r="AR40" i="6"/>
  <c r="AY40" i="6" s="1"/>
  <c r="AO41" i="6"/>
  <c r="B41" i="6" l="1"/>
  <c r="H40" i="6"/>
  <c r="L40" i="6"/>
  <c r="G40" i="6"/>
  <c r="K40" i="6"/>
  <c r="AO42" i="6"/>
  <c r="AT41" i="6"/>
  <c r="BA41" i="6" s="1"/>
  <c r="AR41" i="6"/>
  <c r="AY41" i="6" s="1"/>
  <c r="AR42" i="6" l="1"/>
  <c r="AY42" i="6" s="1"/>
  <c r="AO43" i="6"/>
  <c r="AT42" i="6"/>
  <c r="BA42" i="6" s="1"/>
  <c r="B42" i="6"/>
  <c r="K41" i="6"/>
  <c r="G41" i="6"/>
  <c r="H41" i="6"/>
  <c r="L41" i="6"/>
  <c r="B43" i="6" l="1"/>
  <c r="L42" i="6"/>
  <c r="G42" i="6"/>
  <c r="K42" i="6"/>
  <c r="H42" i="6"/>
  <c r="AT43" i="6"/>
  <c r="BA43" i="6" s="1"/>
  <c r="AR43" i="6"/>
  <c r="AY43" i="6" s="1"/>
  <c r="AO44" i="6"/>
  <c r="B44" i="6" l="1"/>
  <c r="G43" i="6"/>
  <c r="L43" i="6"/>
  <c r="K43" i="6"/>
  <c r="H43" i="6"/>
  <c r="AO45" i="6"/>
  <c r="AT44" i="6"/>
  <c r="BA44" i="6" s="1"/>
  <c r="AR44" i="6"/>
  <c r="AY44" i="6" s="1"/>
  <c r="AT45" i="6" l="1"/>
  <c r="BA45" i="6" s="1"/>
  <c r="AR45" i="6"/>
  <c r="AY45" i="6" s="1"/>
  <c r="AO46" i="6"/>
  <c r="B45" i="6"/>
  <c r="L44" i="6"/>
  <c r="G44" i="6"/>
  <c r="K44" i="6"/>
  <c r="H44" i="6"/>
  <c r="B46" i="6" l="1"/>
  <c r="K45" i="6"/>
  <c r="H45" i="6"/>
  <c r="L45" i="6"/>
  <c r="G45" i="6"/>
  <c r="AO47" i="6"/>
  <c r="AT46" i="6"/>
  <c r="BA46" i="6" s="1"/>
  <c r="AR46" i="6"/>
  <c r="AY46" i="6" s="1"/>
  <c r="AT47" i="6" l="1"/>
  <c r="BA47" i="6" s="1"/>
  <c r="AR47" i="6"/>
  <c r="AY47" i="6" s="1"/>
  <c r="AO48" i="6"/>
  <c r="B47" i="6"/>
  <c r="K46" i="6"/>
  <c r="H46" i="6"/>
  <c r="G46" i="6"/>
  <c r="L46" i="6"/>
  <c r="B48" i="6" l="1"/>
  <c r="G47" i="6"/>
  <c r="H47" i="6"/>
  <c r="K47" i="6"/>
  <c r="L47" i="6"/>
  <c r="AO49" i="6"/>
  <c r="AT48" i="6"/>
  <c r="BA48" i="6" s="1"/>
  <c r="AR48" i="6"/>
  <c r="AY48" i="6" s="1"/>
  <c r="AT49" i="6" l="1"/>
  <c r="BA49" i="6" s="1"/>
  <c r="AO50" i="6"/>
  <c r="AR49" i="6"/>
  <c r="AY49" i="6" s="1"/>
  <c r="B49" i="6"/>
  <c r="H48" i="6"/>
  <c r="L48" i="6"/>
  <c r="G48" i="6"/>
  <c r="K48" i="6"/>
  <c r="B50" i="6" l="1"/>
  <c r="L49" i="6"/>
  <c r="H49" i="6"/>
  <c r="K49" i="6"/>
  <c r="G49" i="6"/>
  <c r="AO51" i="6"/>
  <c r="AT50" i="6"/>
  <c r="BA50" i="6" s="1"/>
  <c r="AR50" i="6"/>
  <c r="AY50" i="6" s="1"/>
  <c r="B51" i="6" l="1"/>
  <c r="K50" i="6"/>
  <c r="L50" i="6"/>
  <c r="G50" i="6"/>
  <c r="H50" i="6"/>
  <c r="AT51" i="6"/>
  <c r="BA51" i="6" s="1"/>
  <c r="AO52" i="6"/>
  <c r="AR51" i="6"/>
  <c r="AY51" i="6" s="1"/>
  <c r="AO53" i="6" l="1"/>
  <c r="AT52" i="6"/>
  <c r="BA52" i="6" s="1"/>
  <c r="AR52" i="6"/>
  <c r="AY52" i="6" s="1"/>
  <c r="B52" i="6"/>
  <c r="G51" i="6"/>
  <c r="H51" i="6"/>
  <c r="L51" i="6"/>
  <c r="K51" i="6"/>
  <c r="AT53" i="6" l="1"/>
  <c r="BA53" i="6" s="1"/>
  <c r="AR53" i="6"/>
  <c r="AY53" i="6" s="1"/>
  <c r="AO54" i="6"/>
  <c r="B53" i="6"/>
  <c r="L52" i="6"/>
  <c r="G52" i="6"/>
  <c r="H52" i="6"/>
  <c r="K52" i="6"/>
  <c r="B54" i="6" l="1"/>
  <c r="L53" i="6"/>
  <c r="G53" i="6"/>
  <c r="K53" i="6"/>
  <c r="H53" i="6"/>
  <c r="AT54" i="6"/>
  <c r="BA54" i="6" s="1"/>
  <c r="AR54" i="6"/>
  <c r="AY54" i="6" s="1"/>
  <c r="AO55" i="6"/>
  <c r="AT55" i="6" l="1"/>
  <c r="BA55" i="6" s="1"/>
  <c r="AR55" i="6"/>
  <c r="AY55" i="6" s="1"/>
  <c r="AO56" i="6"/>
  <c r="B55" i="6"/>
  <c r="H54" i="6"/>
  <c r="K54" i="6"/>
  <c r="G54" i="6"/>
  <c r="L54" i="6"/>
  <c r="B56" i="6" l="1"/>
  <c r="L55" i="6"/>
  <c r="H55" i="6"/>
  <c r="G55" i="6"/>
  <c r="K55" i="6"/>
  <c r="AT56" i="6"/>
  <c r="BA56" i="6" s="1"/>
  <c r="AO57" i="6"/>
  <c r="AR56" i="6"/>
  <c r="AY56" i="6" s="1"/>
  <c r="AO58" i="6" l="1"/>
  <c r="AT57" i="6"/>
  <c r="BA57" i="6" s="1"/>
  <c r="AR57" i="6"/>
  <c r="AY57" i="6" s="1"/>
  <c r="B57" i="6"/>
  <c r="K56" i="6"/>
  <c r="H56" i="6"/>
  <c r="L56" i="6"/>
  <c r="G56" i="6"/>
  <c r="AT58" i="6" l="1"/>
  <c r="BA58" i="6" s="1"/>
  <c r="AR58" i="6"/>
  <c r="AY58" i="6" s="1"/>
  <c r="AO59" i="6"/>
  <c r="B58" i="6"/>
  <c r="G57" i="6"/>
  <c r="L57" i="6"/>
  <c r="H57" i="6"/>
  <c r="K57" i="6"/>
  <c r="B59" i="6" l="1"/>
  <c r="K58" i="6"/>
  <c r="L58" i="6"/>
  <c r="H58" i="6"/>
  <c r="G58" i="6"/>
  <c r="AO60" i="6"/>
  <c r="AT59" i="6"/>
  <c r="BA59" i="6" s="1"/>
  <c r="AR59" i="6"/>
  <c r="AY59" i="6" s="1"/>
  <c r="AT60" i="6" l="1"/>
  <c r="BA60" i="6" s="1"/>
  <c r="AR60" i="6"/>
  <c r="AY60" i="6" s="1"/>
  <c r="AO61" i="6"/>
  <c r="B60" i="6"/>
  <c r="G59" i="6"/>
  <c r="H59" i="6"/>
  <c r="K59" i="6"/>
  <c r="L59" i="6"/>
  <c r="B61" i="6" l="1"/>
  <c r="K60" i="6"/>
  <c r="H60" i="6"/>
  <c r="L60" i="6"/>
  <c r="G60" i="6"/>
  <c r="AO62" i="6"/>
  <c r="AT61" i="6"/>
  <c r="BA61" i="6" s="1"/>
  <c r="AR61" i="6"/>
  <c r="AY61" i="6" s="1"/>
  <c r="AO63" i="6" l="1"/>
  <c r="AT62" i="6"/>
  <c r="BA62" i="6" s="1"/>
  <c r="AR62" i="6"/>
  <c r="AY62" i="6" s="1"/>
  <c r="B62" i="6"/>
  <c r="G61" i="6"/>
  <c r="K61" i="6"/>
  <c r="H61" i="6"/>
  <c r="L61" i="6"/>
  <c r="AT63" i="6" l="1"/>
  <c r="BA63" i="6" s="1"/>
  <c r="AR63" i="6"/>
  <c r="AY63" i="6" s="1"/>
  <c r="AO64" i="6"/>
  <c r="B63" i="6"/>
  <c r="G62" i="6"/>
  <c r="H62" i="6"/>
  <c r="K62" i="6"/>
  <c r="L62" i="6"/>
  <c r="B64" i="6" l="1"/>
  <c r="G63" i="6"/>
  <c r="K63" i="6"/>
  <c r="L63" i="6"/>
  <c r="H63" i="6"/>
  <c r="AR64" i="6"/>
  <c r="AY64" i="6" s="1"/>
  <c r="AT64" i="6"/>
  <c r="BA64" i="6" s="1"/>
  <c r="AO65" i="6"/>
  <c r="B65" i="6" l="1"/>
  <c r="K64" i="6"/>
  <c r="H64" i="6"/>
  <c r="L64" i="6"/>
  <c r="G64" i="6"/>
  <c r="AO66" i="6"/>
  <c r="AT65" i="6"/>
  <c r="BA65" i="6" s="1"/>
  <c r="AR65" i="6"/>
  <c r="AY65" i="6" s="1"/>
  <c r="AR66" i="6" l="1"/>
  <c r="AY66" i="6" s="1"/>
  <c r="AO67" i="6"/>
  <c r="AT66" i="6"/>
  <c r="BA66" i="6" s="1"/>
  <c r="B66" i="6"/>
  <c r="L65" i="6"/>
  <c r="G65" i="6"/>
  <c r="H65" i="6"/>
  <c r="K65" i="6"/>
  <c r="B67" i="6" l="1"/>
  <c r="H66" i="6"/>
  <c r="K66" i="6"/>
  <c r="L66" i="6"/>
  <c r="G66" i="6"/>
  <c r="AT67" i="6"/>
  <c r="BA67" i="6" s="1"/>
  <c r="AO68" i="6"/>
  <c r="AR67" i="6"/>
  <c r="AY67" i="6" s="1"/>
  <c r="AO69" i="6" l="1"/>
  <c r="AR68" i="6"/>
  <c r="AY68" i="6" s="1"/>
  <c r="AT68" i="6"/>
  <c r="BA68" i="6" s="1"/>
  <c r="B68" i="6"/>
  <c r="L67" i="6"/>
  <c r="G67" i="6"/>
  <c r="H67" i="6"/>
  <c r="K67" i="6"/>
  <c r="AT69" i="6" l="1"/>
  <c r="BA69" i="6" s="1"/>
  <c r="AR69" i="6"/>
  <c r="AY69" i="6" s="1"/>
  <c r="AO70" i="6"/>
  <c r="B69" i="6"/>
  <c r="H68" i="6"/>
  <c r="K68" i="6"/>
  <c r="L68" i="6"/>
  <c r="G68" i="6"/>
  <c r="B70" i="6" l="1"/>
  <c r="L69" i="6"/>
  <c r="K69" i="6"/>
  <c r="G69" i="6"/>
  <c r="H69" i="6"/>
  <c r="AO71" i="6"/>
  <c r="AT70" i="6"/>
  <c r="BA70" i="6" s="1"/>
  <c r="AR70" i="6"/>
  <c r="AY70" i="6" s="1"/>
  <c r="AT71" i="6" l="1"/>
  <c r="BA71" i="6" s="1"/>
  <c r="AR71" i="6"/>
  <c r="AY71" i="6" s="1"/>
  <c r="AO72" i="6"/>
  <c r="B71" i="6"/>
  <c r="G70" i="6"/>
  <c r="H70" i="6"/>
  <c r="K70" i="6"/>
  <c r="L70" i="6"/>
  <c r="B72" i="6" l="1"/>
  <c r="K71" i="6"/>
  <c r="G71" i="6"/>
  <c r="L71" i="6"/>
  <c r="H71" i="6"/>
  <c r="AO73" i="6"/>
  <c r="AT72" i="6"/>
  <c r="BA72" i="6" s="1"/>
  <c r="AR72" i="6"/>
  <c r="AY72" i="6" s="1"/>
  <c r="B73" i="6" l="1"/>
  <c r="K72" i="6"/>
  <c r="H72" i="6"/>
  <c r="L72" i="6"/>
  <c r="G72" i="6"/>
  <c r="AT73" i="6"/>
  <c r="BA73" i="6" s="1"/>
  <c r="AR73" i="6"/>
  <c r="AY73" i="6" s="1"/>
  <c r="AO74" i="6"/>
  <c r="AO75" i="6" l="1"/>
  <c r="AT74" i="6"/>
  <c r="BA74" i="6" s="1"/>
  <c r="AR74" i="6"/>
  <c r="AY74" i="6" s="1"/>
  <c r="B74" i="6"/>
  <c r="L73" i="6"/>
  <c r="G73" i="6"/>
  <c r="K73" i="6"/>
  <c r="H73" i="6"/>
  <c r="B75" i="6" l="1"/>
  <c r="G74" i="6"/>
  <c r="H74" i="6"/>
  <c r="L74" i="6"/>
  <c r="K74" i="6"/>
  <c r="AT75" i="6"/>
  <c r="BA75" i="6" s="1"/>
  <c r="AR75" i="6"/>
  <c r="AY75" i="6" s="1"/>
  <c r="AO76" i="6"/>
  <c r="AT76" i="6" l="1"/>
  <c r="BA76" i="6" s="1"/>
  <c r="AR76" i="6"/>
  <c r="AY76" i="6" s="1"/>
  <c r="AO77" i="6"/>
  <c r="B76" i="6"/>
  <c r="K75" i="6"/>
  <c r="L75" i="6"/>
  <c r="G75" i="6"/>
  <c r="H75" i="6"/>
  <c r="B77" i="6" l="1"/>
  <c r="H76" i="6"/>
  <c r="K76" i="6"/>
  <c r="L76" i="6"/>
  <c r="G76" i="6"/>
  <c r="AT77" i="6"/>
  <c r="BA77" i="6" s="1"/>
  <c r="AO78" i="6"/>
  <c r="AR77" i="6"/>
  <c r="AY77" i="6" s="1"/>
  <c r="AT78" i="6" l="1"/>
  <c r="BA78" i="6" s="1"/>
  <c r="AO79" i="6"/>
  <c r="AR78" i="6"/>
  <c r="AY78" i="6" s="1"/>
  <c r="B78" i="6"/>
  <c r="H77" i="6"/>
  <c r="K77" i="6"/>
  <c r="L77" i="6"/>
  <c r="G77" i="6"/>
  <c r="B79" i="6" l="1"/>
  <c r="L78" i="6"/>
  <c r="G78" i="6"/>
  <c r="H78" i="6"/>
  <c r="K78" i="6"/>
  <c r="AO80" i="6"/>
  <c r="AT79" i="6"/>
  <c r="BA79" i="6" s="1"/>
  <c r="AR79" i="6"/>
  <c r="AY79" i="6" s="1"/>
  <c r="B80" i="6" l="1"/>
  <c r="K79" i="6"/>
  <c r="G79" i="6"/>
  <c r="L79" i="6"/>
  <c r="H79" i="6"/>
  <c r="AR80" i="6"/>
  <c r="AY80" i="6" s="1"/>
  <c r="AO81" i="6"/>
  <c r="AT80" i="6"/>
  <c r="BA80" i="6" s="1"/>
  <c r="AR81" i="6" l="1"/>
  <c r="AY81" i="6" s="1"/>
  <c r="AO82" i="6"/>
  <c r="AT81" i="6"/>
  <c r="BA81" i="6" s="1"/>
  <c r="B81" i="6"/>
  <c r="K80" i="6"/>
  <c r="L80" i="6"/>
  <c r="G80" i="6"/>
  <c r="H80" i="6"/>
  <c r="B82" i="6" l="1"/>
  <c r="L81" i="6"/>
  <c r="G81" i="6"/>
  <c r="K81" i="6"/>
  <c r="H81" i="6"/>
  <c r="AT82" i="6"/>
  <c r="BA82" i="6" s="1"/>
  <c r="AR82" i="6"/>
  <c r="AY82" i="6" s="1"/>
  <c r="AO83" i="6"/>
  <c r="B83" i="6" l="1"/>
  <c r="G83" i="6" s="1"/>
  <c r="L82" i="6"/>
  <c r="G82" i="6"/>
  <c r="H82" i="6"/>
  <c r="K82" i="6"/>
  <c r="AT83" i="6"/>
  <c r="BA83" i="6" s="1"/>
  <c r="AR83" i="6"/>
  <c r="AY83" i="6" s="1"/>
  <c r="AO84" i="6"/>
  <c r="AT84" i="6" l="1"/>
  <c r="BA84" i="6" s="1"/>
  <c r="AR84" i="6"/>
  <c r="AY84" i="6" s="1"/>
  <c r="AO85" i="6"/>
  <c r="B84" i="6"/>
  <c r="K83" i="6"/>
  <c r="H83" i="6"/>
  <c r="L83" i="6"/>
  <c r="B85" i="6" l="1"/>
  <c r="G84" i="6"/>
  <c r="L84" i="6"/>
  <c r="H84" i="6"/>
  <c r="K84" i="6"/>
  <c r="AO86" i="6"/>
  <c r="AT85" i="6"/>
  <c r="BA85" i="6" s="1"/>
  <c r="AR85" i="6"/>
  <c r="AY85" i="6" s="1"/>
  <c r="AR86" i="6" l="1"/>
  <c r="AY86" i="6" s="1"/>
  <c r="AO87" i="6"/>
  <c r="AT86" i="6"/>
  <c r="BA86" i="6" s="1"/>
  <c r="B86" i="6"/>
  <c r="H85" i="6"/>
  <c r="K85" i="6"/>
  <c r="L85" i="6"/>
  <c r="G85" i="6"/>
  <c r="B87" i="6" l="1"/>
  <c r="G86" i="6"/>
  <c r="H86" i="6"/>
  <c r="K86" i="6"/>
  <c r="L86" i="6"/>
  <c r="AT87" i="6"/>
  <c r="BA87" i="6" s="1"/>
  <c r="AR87" i="6"/>
  <c r="AY87" i="6" s="1"/>
  <c r="AO88" i="6"/>
  <c r="AR88" i="6" l="1"/>
  <c r="AY88" i="6" s="1"/>
  <c r="AT88" i="6"/>
  <c r="BA88" i="6" s="1"/>
  <c r="AO89" i="6"/>
  <c r="B88" i="6"/>
  <c r="G87" i="6"/>
  <c r="H87" i="6"/>
  <c r="L87" i="6"/>
  <c r="K87" i="6"/>
  <c r="B89" i="6" l="1"/>
  <c r="G88" i="6"/>
  <c r="H88" i="6"/>
  <c r="L88" i="6"/>
  <c r="K88" i="6"/>
  <c r="AT89" i="6"/>
  <c r="BA89" i="6" s="1"/>
  <c r="AR89" i="6"/>
  <c r="AY89" i="6" s="1"/>
  <c r="AO90" i="6"/>
  <c r="AO91" i="6" l="1"/>
  <c r="AT90" i="6"/>
  <c r="BA90" i="6" s="1"/>
  <c r="AR90" i="6"/>
  <c r="AY90" i="6" s="1"/>
  <c r="B90" i="6"/>
  <c r="H89" i="6"/>
  <c r="G89" i="6"/>
  <c r="K89" i="6"/>
  <c r="L89" i="6"/>
  <c r="B91" i="6" l="1"/>
  <c r="G90" i="6"/>
  <c r="H90" i="6"/>
  <c r="K90" i="6"/>
  <c r="L90" i="6"/>
  <c r="AR91" i="6"/>
  <c r="AY91" i="6" s="1"/>
  <c r="AT91" i="6"/>
  <c r="BA91" i="6" s="1"/>
  <c r="AO92" i="6"/>
  <c r="AR92" i="6" l="1"/>
  <c r="AY92" i="6" s="1"/>
  <c r="AO93" i="6"/>
  <c r="AT92" i="6"/>
  <c r="BA92" i="6" s="1"/>
  <c r="B92" i="6"/>
  <c r="G91" i="6"/>
  <c r="L91" i="6"/>
  <c r="K91" i="6"/>
  <c r="H91" i="6"/>
  <c r="B93" i="6" l="1"/>
  <c r="G92" i="6"/>
  <c r="L92" i="6"/>
  <c r="K92" i="6"/>
  <c r="H92" i="6"/>
  <c r="AT93" i="6"/>
  <c r="BA93" i="6" s="1"/>
  <c r="AR93" i="6"/>
  <c r="AY93" i="6" s="1"/>
  <c r="AO94" i="6"/>
  <c r="B94" i="6" l="1"/>
  <c r="G93" i="6"/>
  <c r="K93" i="6"/>
  <c r="L93" i="6"/>
  <c r="H93" i="6"/>
  <c r="AO95" i="6"/>
  <c r="AR94" i="6"/>
  <c r="AY94" i="6" s="1"/>
  <c r="AT94" i="6"/>
  <c r="BA94" i="6" s="1"/>
  <c r="AT95" i="6" l="1"/>
  <c r="BA95" i="6" s="1"/>
  <c r="AR95" i="6"/>
  <c r="AY95" i="6" s="1"/>
  <c r="AO96" i="6"/>
  <c r="B95" i="6"/>
  <c r="G94" i="6"/>
  <c r="K94" i="6"/>
  <c r="H94" i="6"/>
  <c r="L94" i="6"/>
  <c r="B96" i="6" l="1"/>
  <c r="L95" i="6"/>
  <c r="K95" i="6"/>
  <c r="G95" i="6"/>
  <c r="H95" i="6"/>
  <c r="AO97" i="6"/>
  <c r="AT96" i="6"/>
  <c r="BA96" i="6" s="1"/>
  <c r="AR96" i="6"/>
  <c r="AY96" i="6" s="1"/>
  <c r="B97" i="6" l="1"/>
  <c r="G96" i="6"/>
  <c r="K96" i="6"/>
  <c r="L96" i="6"/>
  <c r="H96" i="6"/>
  <c r="AR97" i="6"/>
  <c r="AY97" i="6" s="1"/>
  <c r="AT97" i="6"/>
  <c r="BA97" i="6" s="1"/>
  <c r="AO98" i="6"/>
  <c r="AT98" i="6" l="1"/>
  <c r="BA98" i="6" s="1"/>
  <c r="AO99" i="6"/>
  <c r="AR98" i="6"/>
  <c r="AY98" i="6" s="1"/>
  <c r="B98" i="6"/>
  <c r="G97" i="6"/>
  <c r="L97" i="6"/>
  <c r="K97" i="6"/>
  <c r="H97" i="6"/>
  <c r="B99" i="6" l="1"/>
  <c r="L98" i="6"/>
  <c r="H98" i="6"/>
  <c r="G98" i="6"/>
  <c r="K98" i="6"/>
  <c r="AO100" i="6"/>
  <c r="AR99" i="6"/>
  <c r="AY99" i="6" s="1"/>
  <c r="AT99" i="6"/>
  <c r="BA99" i="6" s="1"/>
  <c r="AT100" i="6" l="1"/>
  <c r="BA100" i="6" s="1"/>
  <c r="AO101" i="6"/>
  <c r="AR100" i="6"/>
  <c r="AY100" i="6" s="1"/>
  <c r="B100" i="6"/>
  <c r="G99" i="6"/>
  <c r="K99" i="6"/>
  <c r="L99" i="6"/>
  <c r="H99" i="6"/>
  <c r="B101" i="6" l="1"/>
  <c r="G100" i="6"/>
  <c r="H100" i="6"/>
  <c r="K100" i="6"/>
  <c r="L100" i="6"/>
  <c r="AO102" i="6"/>
  <c r="AT101" i="6"/>
  <c r="BA101" i="6" s="1"/>
  <c r="AR101" i="6"/>
  <c r="AY101" i="6" s="1"/>
  <c r="B102" i="6" l="1"/>
  <c r="H101" i="6"/>
  <c r="K101" i="6"/>
  <c r="G101" i="6"/>
  <c r="L101" i="6"/>
  <c r="AT102" i="6"/>
  <c r="BA102" i="6" s="1"/>
  <c r="AR102" i="6"/>
  <c r="AY102" i="6" s="1"/>
  <c r="AO103" i="6"/>
  <c r="AT103" i="6" l="1"/>
  <c r="BA103" i="6" s="1"/>
  <c r="AR103" i="6"/>
  <c r="AY103" i="6" s="1"/>
  <c r="AO104" i="6"/>
  <c r="B103" i="6"/>
  <c r="G102" i="6"/>
  <c r="L102" i="6"/>
  <c r="H102" i="6"/>
  <c r="K102" i="6"/>
  <c r="B104" i="6" l="1"/>
  <c r="G103" i="6"/>
  <c r="H103" i="6"/>
  <c r="L103" i="6"/>
  <c r="K103" i="6"/>
  <c r="AR104" i="6"/>
  <c r="AY104" i="6" s="1"/>
  <c r="AT104" i="6"/>
  <c r="BA104" i="6" s="1"/>
  <c r="AO105" i="6"/>
  <c r="AO106" i="6" l="1"/>
  <c r="AT105" i="6"/>
  <c r="BA105" i="6" s="1"/>
  <c r="AR105" i="6"/>
  <c r="AY105" i="6" s="1"/>
  <c r="B105" i="6"/>
  <c r="L104" i="6"/>
  <c r="K104" i="6"/>
  <c r="H104" i="6"/>
  <c r="G104" i="6"/>
  <c r="AO107" i="6" l="1"/>
  <c r="AT106" i="6"/>
  <c r="BA106" i="6" s="1"/>
  <c r="AR106" i="6"/>
  <c r="AY106" i="6" s="1"/>
  <c r="G105" i="6"/>
  <c r="B106" i="6"/>
  <c r="H105" i="6"/>
  <c r="L105" i="6"/>
  <c r="K105" i="6"/>
  <c r="AT107" i="6" l="1"/>
  <c r="BA107" i="6" s="1"/>
  <c r="AR107" i="6"/>
  <c r="AY107" i="6" s="1"/>
  <c r="AO108" i="6"/>
  <c r="B107" i="6"/>
  <c r="G106" i="6"/>
  <c r="L106" i="6"/>
  <c r="K106" i="6"/>
  <c r="H106" i="6"/>
  <c r="B108" i="6" l="1"/>
  <c r="G107" i="6"/>
  <c r="K107" i="6"/>
  <c r="L107" i="6"/>
  <c r="H107" i="6"/>
  <c r="AO109" i="6"/>
  <c r="AR108" i="6"/>
  <c r="AY108" i="6" s="1"/>
  <c r="AT108" i="6"/>
  <c r="BA108" i="6" s="1"/>
  <c r="AT109" i="6" l="1"/>
  <c r="BA109" i="6" s="1"/>
  <c r="AR109" i="6"/>
  <c r="AY109" i="6" s="1"/>
  <c r="AO110" i="6"/>
  <c r="B109" i="6"/>
  <c r="G108" i="6"/>
  <c r="K108" i="6"/>
  <c r="H108" i="6"/>
  <c r="L108" i="6"/>
  <c r="B110" i="6" l="1"/>
  <c r="L109" i="6"/>
  <c r="H109" i="6"/>
  <c r="G109" i="6"/>
  <c r="K109" i="6"/>
  <c r="AO111" i="6"/>
  <c r="AT110" i="6"/>
  <c r="BA110" i="6" s="1"/>
  <c r="AR110" i="6"/>
  <c r="AY110" i="6" s="1"/>
  <c r="AT111" i="6" l="1"/>
  <c r="BA111" i="6" s="1"/>
  <c r="AR111" i="6"/>
  <c r="AY111" i="6" s="1"/>
  <c r="AO112" i="6"/>
  <c r="B111" i="6"/>
  <c r="G110" i="6"/>
  <c r="H110" i="6"/>
  <c r="K110" i="6"/>
  <c r="L110" i="6"/>
  <c r="B112" i="6" l="1"/>
  <c r="H111" i="6"/>
  <c r="K111" i="6"/>
  <c r="G111" i="6"/>
  <c r="L111" i="6"/>
  <c r="AO113" i="6"/>
  <c r="AT112" i="6"/>
  <c r="BA112" i="6" s="1"/>
  <c r="AR112" i="6"/>
  <c r="AY112" i="6" s="1"/>
  <c r="B113" i="6" l="1"/>
  <c r="G112" i="6"/>
  <c r="L112" i="6"/>
  <c r="K112" i="6"/>
  <c r="H112" i="6"/>
  <c r="AR113" i="6"/>
  <c r="AY113" i="6" s="1"/>
  <c r="AO114" i="6"/>
  <c r="AT113" i="6"/>
  <c r="BA113" i="6" s="1"/>
  <c r="AT114" i="6" l="1"/>
  <c r="BA114" i="6" s="1"/>
  <c r="AR114" i="6"/>
  <c r="AY114" i="6" s="1"/>
  <c r="AO115" i="6"/>
  <c r="B114" i="6"/>
  <c r="G113" i="6"/>
  <c r="L113" i="6"/>
  <c r="K113" i="6"/>
  <c r="H113" i="6"/>
  <c r="B115" i="6" l="1"/>
  <c r="L114" i="6"/>
  <c r="H114" i="6"/>
  <c r="G114" i="6"/>
  <c r="K114" i="6"/>
  <c r="AO116" i="6"/>
  <c r="AT115" i="6"/>
  <c r="BA115" i="6" s="1"/>
  <c r="AR115" i="6"/>
  <c r="AY115" i="6" s="1"/>
  <c r="AT116" i="6" l="1"/>
  <c r="BA116" i="6" s="1"/>
  <c r="AR116" i="6"/>
  <c r="AY116" i="6" s="1"/>
  <c r="AO117" i="6"/>
  <c r="B116" i="6"/>
  <c r="G115" i="6"/>
  <c r="L115" i="6"/>
  <c r="H115" i="6"/>
  <c r="K115" i="6"/>
  <c r="B117" i="6" l="1"/>
  <c r="H116" i="6"/>
  <c r="G116" i="6"/>
  <c r="K116" i="6"/>
  <c r="L116" i="6"/>
  <c r="AO118" i="6"/>
  <c r="AT117" i="6"/>
  <c r="BA117" i="6" s="1"/>
  <c r="AR117" i="6"/>
  <c r="AY117" i="6" s="1"/>
  <c r="B118" i="6" l="1"/>
  <c r="G117" i="6"/>
  <c r="H117" i="6"/>
  <c r="L117" i="6"/>
  <c r="K117" i="6"/>
  <c r="AT118" i="6"/>
  <c r="BA118" i="6" s="1"/>
  <c r="AR118" i="6"/>
  <c r="AY118" i="6" s="1"/>
  <c r="AO119" i="6"/>
  <c r="AO120" i="6" l="1"/>
  <c r="AT119" i="6"/>
  <c r="BA119" i="6" s="1"/>
  <c r="AR119" i="6"/>
  <c r="AY119" i="6" s="1"/>
  <c r="B119" i="6"/>
  <c r="L118" i="6"/>
  <c r="G118" i="6"/>
  <c r="K118" i="6"/>
  <c r="H118" i="6"/>
  <c r="B120" i="6" l="1"/>
  <c r="G119" i="6"/>
  <c r="K119" i="6"/>
  <c r="L119" i="6"/>
  <c r="H119" i="6"/>
  <c r="AT120" i="6"/>
  <c r="BA120" i="6" s="1"/>
  <c r="AR120" i="6"/>
  <c r="AY120" i="6" s="1"/>
  <c r="AO121" i="6"/>
  <c r="AO122" i="6" l="1"/>
  <c r="AR121" i="6"/>
  <c r="AY121" i="6" s="1"/>
  <c r="AT121" i="6"/>
  <c r="BA121" i="6" s="1"/>
  <c r="B121" i="6"/>
  <c r="K120" i="6"/>
  <c r="H120" i="6"/>
  <c r="L120" i="6"/>
  <c r="G120" i="6"/>
  <c r="B122" i="6" l="1"/>
  <c r="G121" i="6"/>
  <c r="K121" i="6"/>
  <c r="L121" i="6"/>
  <c r="H121" i="6"/>
  <c r="AO123" i="6"/>
  <c r="AT122" i="6"/>
  <c r="BA122" i="6" s="1"/>
  <c r="AR122" i="6"/>
  <c r="AY122" i="6" s="1"/>
  <c r="B123" i="6" l="1"/>
  <c r="G122" i="6"/>
  <c r="K122" i="6"/>
  <c r="H122" i="6"/>
  <c r="L122" i="6"/>
  <c r="AT123" i="6"/>
  <c r="BA123" i="6" s="1"/>
  <c r="AR123" i="6"/>
  <c r="AY123" i="6" s="1"/>
  <c r="AO124" i="6"/>
  <c r="AO125" i="6" l="1"/>
  <c r="AT124" i="6"/>
  <c r="BA124" i="6" s="1"/>
  <c r="AR124" i="6"/>
  <c r="AY124" i="6" s="1"/>
  <c r="B124" i="6"/>
  <c r="H123" i="6"/>
  <c r="G123" i="6"/>
  <c r="K123" i="6"/>
  <c r="L123" i="6"/>
  <c r="B125" i="6" l="1"/>
  <c r="G124" i="6"/>
  <c r="K124" i="6"/>
  <c r="H124" i="6"/>
  <c r="L124" i="6"/>
  <c r="AT125" i="6"/>
  <c r="BA125" i="6" s="1"/>
  <c r="AR125" i="6"/>
  <c r="AY125" i="6" s="1"/>
  <c r="AO126" i="6"/>
  <c r="B126" i="6" l="1"/>
  <c r="H125" i="6"/>
  <c r="G125" i="6"/>
  <c r="L125" i="6"/>
  <c r="K125" i="6"/>
  <c r="AO127" i="6"/>
  <c r="AT126" i="6"/>
  <c r="BA126" i="6" s="1"/>
  <c r="AR126" i="6"/>
  <c r="AY126" i="6" s="1"/>
  <c r="AT127" i="6" l="1"/>
  <c r="BA127" i="6" s="1"/>
  <c r="AR127" i="6"/>
  <c r="AY127" i="6" s="1"/>
  <c r="AO128" i="6"/>
  <c r="B127" i="6"/>
  <c r="G126" i="6"/>
  <c r="K126" i="6"/>
  <c r="L126" i="6"/>
  <c r="H126" i="6"/>
  <c r="B128" i="6" l="1"/>
  <c r="K127" i="6"/>
  <c r="H127" i="6"/>
  <c r="G127" i="6"/>
  <c r="L127" i="6"/>
  <c r="AT128" i="6"/>
  <c r="BA128" i="6" s="1"/>
  <c r="AR128" i="6"/>
  <c r="AY128" i="6" s="1"/>
  <c r="G128" i="6" l="1"/>
  <c r="K128" i="6"/>
  <c r="H128" i="6"/>
  <c r="L128" i="6"/>
</calcChain>
</file>

<file path=xl/sharedStrings.xml><?xml version="1.0" encoding="utf-8"?>
<sst xmlns="http://schemas.openxmlformats.org/spreadsheetml/2006/main" count="111" uniqueCount="52">
  <si>
    <t>HanRe</t>
  </si>
  <si>
    <t>Death</t>
  </si>
  <si>
    <t>TPD</t>
  </si>
  <si>
    <t>ADB</t>
  </si>
  <si>
    <t>CI</t>
  </si>
  <si>
    <t>WOP</t>
  </si>
  <si>
    <t>GenRe</t>
  </si>
  <si>
    <t>Pricing</t>
  </si>
  <si>
    <t>Age</t>
  </si>
  <si>
    <t xml:space="preserve">Male </t>
  </si>
  <si>
    <t>Female</t>
  </si>
  <si>
    <t>All</t>
  </si>
  <si>
    <t>Selection Factor</t>
  </si>
  <si>
    <t>Mortality and Morbidity Tables</t>
  </si>
  <si>
    <t>GIO Loading</t>
  </si>
  <si>
    <t>Lapse Tables</t>
  </si>
  <si>
    <t>Selection Factors</t>
  </si>
  <si>
    <t>Mort Load</t>
  </si>
  <si>
    <t>TPD Load</t>
  </si>
  <si>
    <t>Year</t>
  </si>
  <si>
    <t>CSO 1980m
Last BD</t>
  </si>
  <si>
    <t>CSO 1980f
Last BD</t>
  </si>
  <si>
    <t>Combined RI Rate - M</t>
  </si>
  <si>
    <t>Combined RI Rate - F</t>
  </si>
  <si>
    <t>90% Combined RI + 120% TPD - M</t>
  </si>
  <si>
    <t>90% Combined RI + 120% TPD   - F</t>
  </si>
  <si>
    <t>Combined ADB RI M</t>
  </si>
  <si>
    <t>Combined ADB RI F</t>
  </si>
  <si>
    <t>Combined CI Rate M</t>
  </si>
  <si>
    <t>Combined CI Rate F</t>
  </si>
  <si>
    <t>Death - M</t>
  </si>
  <si>
    <t>Death - F</t>
  </si>
  <si>
    <t>TPD - M</t>
  </si>
  <si>
    <t>TPD - F</t>
  </si>
  <si>
    <t>ADB - M</t>
  </si>
  <si>
    <t>ADB - F</t>
  </si>
  <si>
    <t>CI - M</t>
  </si>
  <si>
    <t>NULL</t>
  </si>
  <si>
    <t>age</t>
  </si>
  <si>
    <t>cso80m</t>
  </si>
  <si>
    <t>cso80_f</t>
  </si>
  <si>
    <t>hanre_m</t>
  </si>
  <si>
    <t>hanre_f</t>
  </si>
  <si>
    <t>genre_m</t>
  </si>
  <si>
    <t>genre_f</t>
  </si>
  <si>
    <t>year</t>
  </si>
  <si>
    <t>lapse_01</t>
  </si>
  <si>
    <t>lapse_02</t>
  </si>
  <si>
    <t>acq_exp_01</t>
  </si>
  <si>
    <t>acq_exp_02</t>
  </si>
  <si>
    <t>mtn_exp_01</t>
  </si>
  <si>
    <t>mtn_exp_02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</si>
</sst>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_(* #,##0.0000000_);_(* \(#,##0.0000000\);_(* &quot;-&quot;??_);_(@_)"/>
    <numFmt numFmtId="167" formatCode="0.000000"/>
    <numFmt numFmtId="168" formatCode="0.00000"/>
    <numFmt numFmtId="169" formatCode="0.00000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1"/>
    <xf numFmtId="9" fontId="1" fillId="0" borderId="0" xfId="1" applyNumberFormat="1"/>
    <xf numFmtId="0" fontId="2" fillId="2" borderId="0" xfId="1" applyFont="1" applyFill="1"/>
    <xf numFmtId="0" fontId="2" fillId="2" borderId="1" xfId="1" applyFont="1" applyFill="1" applyBorder="1"/>
    <xf numFmtId="0" fontId="1" fillId="0" borderId="2" xfId="1" applyBorder="1"/>
    <xf numFmtId="9" fontId="3" fillId="0" borderId="0" xfId="1" applyNumberFormat="1" applyFont="1"/>
    <xf numFmtId="0" fontId="4" fillId="0" borderId="0" xfId="1" applyFont="1"/>
    <xf numFmtId="0" fontId="1" fillId="0" borderId="1" xfId="1" applyBorder="1"/>
    <xf numFmtId="164" fontId="0" fillId="0" borderId="0" xfId="2" applyNumberFormat="1" applyFont="1"/>
    <xf numFmtId="164" fontId="0" fillId="0" borderId="1" xfId="2" applyNumberFormat="1" applyFont="1" applyBorder="1"/>
    <xf numFmtId="164" fontId="0" fillId="0" borderId="0" xfId="2" applyNumberFormat="1" applyFont="1" applyBorder="1"/>
    <xf numFmtId="164" fontId="0" fillId="0" borderId="2" xfId="2" applyNumberFormat="1" applyFont="1" applyBorder="1"/>
    <xf numFmtId="165" fontId="5" fillId="0" borderId="0" xfId="2" applyNumberFormat="1" applyFont="1" applyBorder="1"/>
    <xf numFmtId="9" fontId="0" fillId="0" borderId="0" xfId="3" applyFont="1"/>
    <xf numFmtId="166" fontId="0" fillId="0" borderId="0" xfId="2" applyNumberFormat="1" applyFont="1"/>
    <xf numFmtId="43" fontId="1" fillId="0" borderId="0" xfId="1" applyNumberFormat="1"/>
    <xf numFmtId="9" fontId="0" fillId="0" borderId="2" xfId="3" applyFont="1" applyBorder="1"/>
    <xf numFmtId="164" fontId="1" fillId="0" borderId="0" xfId="2" applyNumberFormat="1" applyFont="1" applyBorder="1"/>
    <xf numFmtId="164" fontId="1" fillId="0" borderId="0" xfId="2" applyNumberFormat="1" applyFont="1" applyFill="1"/>
    <xf numFmtId="0" fontId="1" fillId="0" borderId="0" xfId="1" applyProtection="1">
      <protection hidden="1"/>
    </xf>
    <xf numFmtId="0" fontId="2" fillId="0" borderId="0" xfId="1" applyFont="1" applyProtection="1">
      <protection hidden="1"/>
    </xf>
    <xf numFmtId="0" fontId="6" fillId="0" borderId="0" xfId="1" applyFont="1" applyProtection="1">
      <protection hidden="1"/>
    </xf>
    <xf numFmtId="9" fontId="1" fillId="0" borderId="0" xfId="1" applyNumberFormat="1" applyProtection="1">
      <protection hidden="1"/>
    </xf>
    <xf numFmtId="10" fontId="7" fillId="0" borderId="0" xfId="1" applyNumberFormat="1" applyFont="1" applyProtection="1">
      <protection hidden="1"/>
    </xf>
    <xf numFmtId="0" fontId="1" fillId="2" borderId="0" xfId="1" applyFill="1" applyProtection="1">
      <protection hidden="1"/>
    </xf>
    <xf numFmtId="0" fontId="5" fillId="0" borderId="0" xfId="1" applyFont="1" applyAlignment="1" applyProtection="1">
      <alignment horizontal="center"/>
      <protection hidden="1"/>
    </xf>
    <xf numFmtId="0" fontId="5" fillId="2" borderId="0" xfId="1" applyFont="1" applyFill="1" applyAlignment="1" applyProtection="1">
      <alignment horizontal="center"/>
      <protection hidden="1"/>
    </xf>
    <xf numFmtId="0" fontId="1" fillId="0" borderId="0" xfId="1" applyAlignment="1" applyProtection="1">
      <alignment horizontal="center"/>
      <protection hidden="1"/>
    </xf>
    <xf numFmtId="0" fontId="8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 applyProtection="1">
      <alignment horizontal="center"/>
      <protection locked="0" hidden="1"/>
    </xf>
    <xf numFmtId="167" fontId="1" fillId="0" borderId="3" xfId="1" applyNumberFormat="1" applyBorder="1"/>
    <xf numFmtId="167" fontId="1" fillId="0" borderId="4" xfId="1" applyNumberFormat="1" applyBorder="1"/>
    <xf numFmtId="167" fontId="3" fillId="0" borderId="4" xfId="1" applyNumberFormat="1" applyFont="1" applyBorder="1" applyProtection="1">
      <protection locked="0"/>
    </xf>
    <xf numFmtId="167" fontId="1" fillId="0" borderId="5" xfId="1" applyNumberFormat="1" applyBorder="1"/>
    <xf numFmtId="9" fontId="3" fillId="0" borderId="3" xfId="1" applyNumberFormat="1" applyFont="1" applyBorder="1" applyProtection="1">
      <protection locked="0"/>
    </xf>
    <xf numFmtId="9" fontId="3" fillId="0" borderId="4" xfId="1" applyNumberFormat="1" applyFont="1" applyBorder="1" applyProtection="1">
      <protection locked="0"/>
    </xf>
    <xf numFmtId="9" fontId="3" fillId="0" borderId="5" xfId="1" applyNumberFormat="1" applyFont="1" applyBorder="1" applyProtection="1">
      <protection locked="0"/>
    </xf>
    <xf numFmtId="9" fontId="1" fillId="0" borderId="3" xfId="1" applyNumberFormat="1" applyBorder="1" applyProtection="1">
      <protection hidden="1"/>
    </xf>
    <xf numFmtId="9" fontId="1" fillId="0" borderId="4" xfId="1" applyNumberFormat="1" applyBorder="1" applyProtection="1">
      <protection hidden="1"/>
    </xf>
    <xf numFmtId="9" fontId="1" fillId="0" borderId="5" xfId="1" applyNumberFormat="1" applyBorder="1" applyProtection="1">
      <protection hidden="1"/>
    </xf>
    <xf numFmtId="9" fontId="1" fillId="2" borderId="3" xfId="3" applyFont="1" applyFill="1" applyBorder="1" applyProtection="1">
      <protection hidden="1"/>
    </xf>
    <xf numFmtId="167" fontId="1" fillId="0" borderId="1" xfId="1" applyNumberFormat="1" applyBorder="1"/>
    <xf numFmtId="167" fontId="1" fillId="0" borderId="0" xfId="1" applyNumberFormat="1"/>
    <xf numFmtId="167" fontId="3" fillId="0" borderId="0" xfId="1" applyNumberFormat="1" applyFont="1" applyProtection="1">
      <protection locked="0"/>
    </xf>
    <xf numFmtId="167" fontId="1" fillId="0" borderId="2" xfId="1" applyNumberFormat="1" applyBorder="1"/>
    <xf numFmtId="9" fontId="3" fillId="0" borderId="1" xfId="1" applyNumberFormat="1" applyFont="1" applyBorder="1" applyProtection="1">
      <protection locked="0"/>
    </xf>
    <xf numFmtId="9" fontId="3" fillId="0" borderId="0" xfId="1" applyNumberFormat="1" applyFont="1" applyProtection="1">
      <protection locked="0"/>
    </xf>
    <xf numFmtId="9" fontId="3" fillId="0" borderId="2" xfId="1" applyNumberFormat="1" applyFont="1" applyBorder="1" applyProtection="1">
      <protection locked="0"/>
    </xf>
    <xf numFmtId="9" fontId="1" fillId="0" borderId="1" xfId="1" applyNumberFormat="1" applyBorder="1" applyProtection="1">
      <protection hidden="1"/>
    </xf>
    <xf numFmtId="9" fontId="1" fillId="0" borderId="2" xfId="1" applyNumberFormat="1" applyBorder="1" applyProtection="1">
      <protection hidden="1"/>
    </xf>
    <xf numFmtId="9" fontId="1" fillId="2" borderId="1" xfId="3" applyFont="1" applyFill="1" applyBorder="1" applyProtection="1">
      <protection hidden="1"/>
    </xf>
    <xf numFmtId="9" fontId="1" fillId="0" borderId="1" xfId="3" applyFont="1" applyBorder="1" applyProtection="1">
      <protection hidden="1"/>
    </xf>
    <xf numFmtId="168" fontId="1" fillId="0" borderId="0" xfId="1" applyNumberFormat="1"/>
    <xf numFmtId="167" fontId="1" fillId="0" borderId="6" xfId="1" applyNumberFormat="1" applyBorder="1"/>
    <xf numFmtId="167" fontId="1" fillId="0" borderId="7" xfId="1" applyNumberFormat="1" applyBorder="1"/>
    <xf numFmtId="167" fontId="3" fillId="0" borderId="7" xfId="1" applyNumberFormat="1" applyFont="1" applyBorder="1" applyProtection="1">
      <protection locked="0"/>
    </xf>
    <xf numFmtId="167" fontId="1" fillId="0" borderId="8" xfId="1" applyNumberFormat="1" applyBorder="1"/>
    <xf numFmtId="9" fontId="3" fillId="0" borderId="6" xfId="1" applyNumberFormat="1" applyFont="1" applyBorder="1" applyProtection="1">
      <protection locked="0"/>
    </xf>
    <xf numFmtId="9" fontId="3" fillId="0" borderId="7" xfId="1" applyNumberFormat="1" applyFont="1" applyBorder="1" applyProtection="1">
      <protection locked="0"/>
    </xf>
    <xf numFmtId="9" fontId="3" fillId="0" borderId="8" xfId="1" applyNumberFormat="1" applyFont="1" applyBorder="1" applyProtection="1">
      <protection locked="0"/>
    </xf>
    <xf numFmtId="9" fontId="1" fillId="0" borderId="6" xfId="1" applyNumberFormat="1" applyBorder="1" applyProtection="1">
      <protection hidden="1"/>
    </xf>
    <xf numFmtId="9" fontId="1" fillId="0" borderId="7" xfId="1" applyNumberFormat="1" applyBorder="1" applyProtection="1">
      <protection hidden="1"/>
    </xf>
    <xf numFmtId="9" fontId="1" fillId="0" borderId="8" xfId="1" applyNumberFormat="1" applyBorder="1" applyProtection="1">
      <protection hidden="1"/>
    </xf>
    <xf numFmtId="167" fontId="0" fillId="0" borderId="0" xfId="4" applyNumberFormat="1" applyFont="1"/>
    <xf numFmtId="1" fontId="0" fillId="0" borderId="0" xfId="4" applyNumberFormat="1" applyFont="1"/>
    <xf numFmtId="169" fontId="0" fillId="0" borderId="0" xfId="4" applyNumberFormat="1" applyFont="1"/>
    <xf numFmtId="169" fontId="1" fillId="0" borderId="0" xfId="4" applyNumberFormat="1" applyFont="1"/>
    <xf numFmtId="0" fontId="1" fillId="0" borderId="0" xfId="1" applyAlignment="1">
      <alignment horizontal="center"/>
    </xf>
    <xf numFmtId="0" fontId="1" fillId="0" borderId="2" xfId="1" applyBorder="1" applyAlignment="1">
      <alignment horizontal="center"/>
    </xf>
    <xf numFmtId="0" fontId="1" fillId="0" borderId="1" xfId="1" applyBorder="1" applyAlignment="1">
      <alignment horizontal="center"/>
    </xf>
    <xf numFmtId="2" fontId="0" fillId="0" borderId="0" xfId="0" applyNumberFormat="1"/>
  </cellXfs>
  <cellStyles count="5">
    <cellStyle name="Comma" xfId="4" builtinId="3"/>
    <cellStyle name="Comma 2" xfId="2" xr:uid="{BF0B1794-33F6-49E7-86C0-662885D0854D}"/>
    <cellStyle name="Normal" xfId="0" builtinId="0"/>
    <cellStyle name="Normal 2" xfId="1" xr:uid="{2679D9FE-ACF1-4AF8-8F75-A2034339CCA9}"/>
    <cellStyle name="Percent 2" xfId="3" xr:uid="{42C340D5-01FD-40A6-882B-A58331D53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\lifelib-rust\src\basiclife\Traditional%20Product%20Pricing%20Spreadsheet%20R17_Edu_V3.2_Installment_230217_Backup.xlsm" TargetMode="External"/><Relationship Id="rId1" Type="http://schemas.openxmlformats.org/officeDocument/2006/relationships/externalLinkPath" Target="/proj/lifelib-rust/src/basiclife/Traditional%20Product%20Pricing%20Spreadsheet%20R17_Edu_V3.2_Installment_230217_Backu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Specs"/>
      <sheetName val="RI"/>
      <sheetName val="Premium"/>
      <sheetName val="Basic"/>
      <sheetName val="Advanced"/>
      <sheetName val="Q-Rates"/>
      <sheetName val="Pricing"/>
      <sheetName val="SENSI"/>
      <sheetName val="Adj"/>
      <sheetName val="Summary"/>
      <sheetName val="RBC"/>
      <sheetName val="Reserves"/>
      <sheetName val="NegProfitRes"/>
      <sheetName val="ProfitTest"/>
      <sheetName val="Yield"/>
      <sheetName val="RESULTS=&gt;"/>
      <sheetName val="Sentest"/>
      <sheetName val="Chart1"/>
      <sheetName val="Financials"/>
      <sheetName val="BIPS"/>
      <sheetName val="SurrFac_Npar"/>
      <sheetName val="SurrFac_Par"/>
      <sheetName val="SurrFac"/>
    </sheetNames>
    <sheetDataSet>
      <sheetData sheetId="0"/>
      <sheetData sheetId="1">
        <row r="5">
          <cell r="Q5">
            <v>1</v>
          </cell>
          <cell r="R5">
            <v>0.25</v>
          </cell>
        </row>
        <row r="6">
          <cell r="Q6">
            <v>2</v>
          </cell>
          <cell r="R6">
            <v>0.15</v>
          </cell>
        </row>
        <row r="7">
          <cell r="Q7">
            <v>3</v>
          </cell>
          <cell r="R7">
            <v>0.12</v>
          </cell>
        </row>
        <row r="8">
          <cell r="Q8">
            <v>4</v>
          </cell>
          <cell r="R8">
            <v>0.1</v>
          </cell>
        </row>
        <row r="9">
          <cell r="Q9">
            <v>5</v>
          </cell>
          <cell r="R9">
            <v>0.06</v>
          </cell>
        </row>
        <row r="10">
          <cell r="Q10">
            <v>6</v>
          </cell>
          <cell r="R10">
            <v>0.06</v>
          </cell>
        </row>
        <row r="11">
          <cell r="Q11" t="str">
            <v>Last 4 years</v>
          </cell>
          <cell r="R11">
            <v>0</v>
          </cell>
        </row>
      </sheetData>
      <sheetData sheetId="2"/>
      <sheetData sheetId="3"/>
      <sheetData sheetId="4">
        <row r="4">
          <cell r="C4">
            <v>35</v>
          </cell>
        </row>
        <row r="5">
          <cell r="C5">
            <v>1</v>
          </cell>
        </row>
        <row r="9">
          <cell r="C9">
            <v>1</v>
          </cell>
        </row>
        <row r="11">
          <cell r="C11">
            <v>1</v>
          </cell>
        </row>
        <row r="13">
          <cell r="C13">
            <v>1</v>
          </cell>
        </row>
        <row r="15">
          <cell r="B15" t="str">
            <v>Others 1</v>
          </cell>
          <cell r="C15">
            <v>0</v>
          </cell>
        </row>
        <row r="17">
          <cell r="B17" t="str">
            <v>Others 2</v>
          </cell>
          <cell r="C17">
            <v>0</v>
          </cell>
        </row>
        <row r="18">
          <cell r="C18">
            <v>1</v>
          </cell>
        </row>
        <row r="20">
          <cell r="C20">
            <v>97</v>
          </cell>
        </row>
        <row r="26">
          <cell r="C26" t="str">
            <v>FWD Vietnam</v>
          </cell>
        </row>
        <row r="27">
          <cell r="C27" t="str">
            <v>Education Plan</v>
          </cell>
        </row>
        <row r="28">
          <cell r="C28" t="str">
            <v>Endowment</v>
          </cell>
        </row>
        <row r="29">
          <cell r="C29">
            <v>22</v>
          </cell>
          <cell r="D29">
            <v>18</v>
          </cell>
        </row>
        <row r="30">
          <cell r="C30">
            <v>7</v>
          </cell>
        </row>
        <row r="32">
          <cell r="C32" t="str">
            <v>Y</v>
          </cell>
        </row>
        <row r="33">
          <cell r="C33" t="str">
            <v>Y</v>
          </cell>
        </row>
        <row r="34">
          <cell r="C34">
            <v>1</v>
          </cell>
        </row>
        <row r="35">
          <cell r="C35">
            <v>3</v>
          </cell>
        </row>
        <row r="42">
          <cell r="C42">
            <v>1</v>
          </cell>
        </row>
        <row r="46">
          <cell r="C46">
            <v>0</v>
          </cell>
        </row>
        <row r="47">
          <cell r="C47">
            <v>0</v>
          </cell>
        </row>
        <row r="53">
          <cell r="C53">
            <v>9.9999999999999992E-2</v>
          </cell>
        </row>
        <row r="54">
          <cell r="C54">
            <v>150000</v>
          </cell>
        </row>
        <row r="56">
          <cell r="C56">
            <v>6.5799999999999997E-2</v>
          </cell>
        </row>
        <row r="57">
          <cell r="C57">
            <v>2</v>
          </cell>
        </row>
        <row r="58">
          <cell r="C58">
            <v>2</v>
          </cell>
        </row>
        <row r="59">
          <cell r="C59">
            <v>50000000</v>
          </cell>
        </row>
        <row r="60">
          <cell r="C60">
            <v>0.33333333333333331</v>
          </cell>
        </row>
        <row r="61">
          <cell r="C61">
            <v>0</v>
          </cell>
        </row>
        <row r="62">
          <cell r="C62" t="str">
            <v>N</v>
          </cell>
        </row>
        <row r="63">
          <cell r="C63" t="str">
            <v>Y</v>
          </cell>
        </row>
        <row r="64">
          <cell r="C64">
            <v>0</v>
          </cell>
        </row>
        <row r="65">
          <cell r="C65">
            <v>0.2</v>
          </cell>
        </row>
        <row r="67">
          <cell r="C67">
            <v>0</v>
          </cell>
        </row>
        <row r="68">
          <cell r="C68">
            <v>0</v>
          </cell>
        </row>
        <row r="70">
          <cell r="C70">
            <v>5</v>
          </cell>
        </row>
        <row r="74">
          <cell r="C74">
            <v>0.15</v>
          </cell>
        </row>
        <row r="75">
          <cell r="C75">
            <v>0.03</v>
          </cell>
        </row>
        <row r="78">
          <cell r="C78">
            <v>1</v>
          </cell>
        </row>
        <row r="79">
          <cell r="C79">
            <v>1</v>
          </cell>
        </row>
        <row r="80">
          <cell r="C80">
            <v>4.1666666666666664E-2</v>
          </cell>
        </row>
        <row r="81">
          <cell r="C81" t="str">
            <v>N</v>
          </cell>
        </row>
        <row r="85">
          <cell r="C85">
            <v>1</v>
          </cell>
        </row>
        <row r="87">
          <cell r="C87">
            <v>1</v>
          </cell>
        </row>
        <row r="90">
          <cell r="C90">
            <v>0.75</v>
          </cell>
        </row>
        <row r="92">
          <cell r="C92">
            <v>1.1000000000000001</v>
          </cell>
        </row>
        <row r="101">
          <cell r="C101">
            <v>1</v>
          </cell>
        </row>
        <row r="105">
          <cell r="E105">
            <v>1</v>
          </cell>
        </row>
        <row r="106">
          <cell r="E106">
            <v>1</v>
          </cell>
        </row>
        <row r="107">
          <cell r="E107">
            <v>1</v>
          </cell>
        </row>
        <row r="108">
          <cell r="E108">
            <v>0</v>
          </cell>
        </row>
        <row r="109">
          <cell r="E109">
            <v>0</v>
          </cell>
        </row>
        <row r="110">
          <cell r="D110">
            <v>3</v>
          </cell>
        </row>
      </sheetData>
      <sheetData sheetId="5">
        <row r="6">
          <cell r="AD6">
            <v>0</v>
          </cell>
          <cell r="AE6">
            <v>0</v>
          </cell>
          <cell r="AF6">
            <v>0</v>
          </cell>
          <cell r="DZ6">
            <v>1</v>
          </cell>
          <cell r="EA6">
            <v>0</v>
          </cell>
          <cell r="EB6">
            <v>0</v>
          </cell>
          <cell r="ED6">
            <v>0</v>
          </cell>
          <cell r="EE6">
            <v>1000</v>
          </cell>
          <cell r="EF6"/>
          <cell r="EG6">
            <v>1000</v>
          </cell>
          <cell r="EH6"/>
          <cell r="EI6">
            <v>1000</v>
          </cell>
          <cell r="EJ6"/>
          <cell r="EK6"/>
          <cell r="EL6"/>
          <cell r="EM6"/>
          <cell r="EN6"/>
          <cell r="EP6">
            <v>1</v>
          </cell>
          <cell r="EQ6"/>
          <cell r="ER6"/>
          <cell r="ES6"/>
          <cell r="ET6"/>
          <cell r="EU6"/>
          <cell r="EV6"/>
          <cell r="EW6"/>
          <cell r="EX6"/>
          <cell r="EY6"/>
          <cell r="EZ6"/>
          <cell r="FA6"/>
          <cell r="FB6"/>
          <cell r="FC6"/>
          <cell r="FD6"/>
          <cell r="FE6"/>
          <cell r="FF6"/>
          <cell r="FG6"/>
          <cell r="FH6"/>
          <cell r="FI6"/>
          <cell r="FJ6">
            <v>3.5000000000000003E-2</v>
          </cell>
          <cell r="FK6">
            <v>3.5000000000000003E-2</v>
          </cell>
          <cell r="FL6"/>
          <cell r="FM6"/>
          <cell r="FN6"/>
          <cell r="FO6"/>
          <cell r="FP6"/>
          <cell r="FQ6"/>
          <cell r="FR6">
            <v>0</v>
          </cell>
          <cell r="FS6">
            <v>0</v>
          </cell>
          <cell r="FU6">
            <v>1</v>
          </cell>
          <cell r="FV6">
            <v>1</v>
          </cell>
          <cell r="FW6">
            <v>1</v>
          </cell>
          <cell r="FX6">
            <v>1</v>
          </cell>
          <cell r="FY6">
            <v>1</v>
          </cell>
          <cell r="FZ6">
            <v>0</v>
          </cell>
          <cell r="GA6">
            <v>1</v>
          </cell>
          <cell r="GB6">
            <v>1</v>
          </cell>
          <cell r="GC6">
            <v>1</v>
          </cell>
          <cell r="GD6">
            <v>0</v>
          </cell>
          <cell r="GE6">
            <v>1</v>
          </cell>
          <cell r="GK6">
            <v>1</v>
          </cell>
          <cell r="GL6">
            <v>3.0000000000000001E-3</v>
          </cell>
          <cell r="GM6">
            <v>0.04</v>
          </cell>
          <cell r="GN6"/>
        </row>
        <row r="7">
          <cell r="AD7">
            <v>1</v>
          </cell>
          <cell r="AE7">
            <v>0</v>
          </cell>
          <cell r="AF7">
            <v>0</v>
          </cell>
          <cell r="DZ7">
            <v>2</v>
          </cell>
          <cell r="EA7">
            <v>0</v>
          </cell>
          <cell r="EB7">
            <v>0.02</v>
          </cell>
          <cell r="ED7">
            <v>1</v>
          </cell>
          <cell r="EE7">
            <v>2465.4854850887418</v>
          </cell>
          <cell r="EF7"/>
          <cell r="EG7">
            <v>2465.4854850887418</v>
          </cell>
          <cell r="EH7"/>
          <cell r="EI7">
            <v>1465.4854850887418</v>
          </cell>
          <cell r="EJ7"/>
          <cell r="EK7"/>
          <cell r="EL7"/>
          <cell r="EM7"/>
          <cell r="EN7"/>
          <cell r="EP7">
            <v>2</v>
          </cell>
          <cell r="EQ7"/>
          <cell r="ER7"/>
          <cell r="ES7"/>
          <cell r="ET7"/>
          <cell r="EU7"/>
          <cell r="EV7"/>
          <cell r="EW7"/>
          <cell r="EX7"/>
          <cell r="EY7"/>
          <cell r="EZ7"/>
          <cell r="FA7"/>
          <cell r="FB7"/>
          <cell r="FC7"/>
          <cell r="FD7"/>
          <cell r="FE7"/>
          <cell r="FF7"/>
          <cell r="FG7"/>
          <cell r="FH7"/>
          <cell r="FI7"/>
          <cell r="FJ7">
            <v>3.5000000000000003E-2</v>
          </cell>
          <cell r="FK7">
            <v>3.5000000000000003E-2</v>
          </cell>
          <cell r="FL7"/>
          <cell r="FM7"/>
          <cell r="FN7"/>
          <cell r="FO7"/>
          <cell r="FP7"/>
          <cell r="FQ7"/>
          <cell r="FR7">
            <v>0</v>
          </cell>
          <cell r="FS7">
            <v>0</v>
          </cell>
          <cell r="FU7">
            <v>2</v>
          </cell>
          <cell r="FV7">
            <v>0</v>
          </cell>
          <cell r="FW7">
            <v>1</v>
          </cell>
          <cell r="FX7">
            <v>0</v>
          </cell>
          <cell r="FY7">
            <v>1</v>
          </cell>
          <cell r="FZ7">
            <v>0</v>
          </cell>
          <cell r="GA7">
            <v>1</v>
          </cell>
          <cell r="GB7">
            <v>1</v>
          </cell>
          <cell r="GC7">
            <v>1</v>
          </cell>
          <cell r="GD7">
            <v>0</v>
          </cell>
          <cell r="GE7">
            <v>0</v>
          </cell>
          <cell r="GK7">
            <v>2</v>
          </cell>
          <cell r="GL7">
            <v>3.0000000000000001E-3</v>
          </cell>
          <cell r="GM7">
            <v>0.04</v>
          </cell>
          <cell r="GN7"/>
        </row>
        <row r="8">
          <cell r="AD8">
            <v>2</v>
          </cell>
          <cell r="AE8">
            <v>0</v>
          </cell>
          <cell r="AF8">
            <v>0</v>
          </cell>
          <cell r="DZ8">
            <v>3</v>
          </cell>
          <cell r="EA8">
            <v>0</v>
          </cell>
          <cell r="EB8">
            <v>0</v>
          </cell>
          <cell r="ED8">
            <v>2</v>
          </cell>
          <cell r="EE8">
            <v>2436.8786990453068</v>
          </cell>
          <cell r="EF8"/>
          <cell r="EG8">
            <v>2436.8786990453068</v>
          </cell>
          <cell r="EH8"/>
          <cell r="EI8">
            <v>1436.8786990453068</v>
          </cell>
          <cell r="EJ8"/>
          <cell r="EK8"/>
          <cell r="EL8"/>
          <cell r="EM8"/>
          <cell r="EN8"/>
          <cell r="EP8">
            <v>3</v>
          </cell>
          <cell r="EQ8"/>
          <cell r="ER8"/>
          <cell r="ES8"/>
          <cell r="ET8"/>
          <cell r="EU8"/>
          <cell r="EV8"/>
          <cell r="EW8"/>
          <cell r="EX8"/>
          <cell r="EY8"/>
          <cell r="EZ8"/>
          <cell r="FA8"/>
          <cell r="FB8"/>
          <cell r="FC8"/>
          <cell r="FD8"/>
          <cell r="FE8"/>
          <cell r="FF8"/>
          <cell r="FG8"/>
          <cell r="FH8"/>
          <cell r="FI8"/>
          <cell r="FJ8">
            <v>3.5000000000000003E-2</v>
          </cell>
          <cell r="FK8">
            <v>3.5000000000000003E-2</v>
          </cell>
          <cell r="FL8"/>
          <cell r="FM8"/>
          <cell r="FN8"/>
          <cell r="FO8"/>
          <cell r="FP8"/>
          <cell r="FQ8"/>
          <cell r="FR8">
            <v>0</v>
          </cell>
          <cell r="FS8">
            <v>0</v>
          </cell>
          <cell r="FU8">
            <v>3</v>
          </cell>
          <cell r="FV8">
            <v>0</v>
          </cell>
          <cell r="FW8">
            <v>1</v>
          </cell>
          <cell r="FX8">
            <v>0</v>
          </cell>
          <cell r="FY8">
            <v>1</v>
          </cell>
          <cell r="FZ8">
            <v>0</v>
          </cell>
          <cell r="GA8">
            <v>1</v>
          </cell>
          <cell r="GB8">
            <v>1</v>
          </cell>
          <cell r="GC8">
            <v>1</v>
          </cell>
          <cell r="GD8">
            <v>0</v>
          </cell>
          <cell r="GE8">
            <v>0</v>
          </cell>
          <cell r="GK8">
            <v>3</v>
          </cell>
          <cell r="GL8">
            <v>3.0000000000000001E-3</v>
          </cell>
          <cell r="GM8">
            <v>0.04</v>
          </cell>
          <cell r="GN8"/>
        </row>
        <row r="9">
          <cell r="AD9">
            <v>3</v>
          </cell>
          <cell r="AE9">
            <v>0.8</v>
          </cell>
          <cell r="AF9">
            <v>0.8</v>
          </cell>
          <cell r="DZ9">
            <v>4</v>
          </cell>
          <cell r="EA9">
            <v>0</v>
          </cell>
          <cell r="EB9">
            <v>0.02</v>
          </cell>
          <cell r="ED9">
            <v>3</v>
          </cell>
          <cell r="EE9">
            <v>2405.983370118397</v>
          </cell>
          <cell r="EF9"/>
          <cell r="EG9">
            <v>2405.983370118397</v>
          </cell>
          <cell r="EH9"/>
          <cell r="EI9">
            <v>1405.9833701183973</v>
          </cell>
          <cell r="EJ9"/>
          <cell r="EK9"/>
          <cell r="EL9"/>
          <cell r="EM9"/>
          <cell r="EN9"/>
          <cell r="EP9">
            <v>4</v>
          </cell>
          <cell r="EQ9"/>
          <cell r="ER9"/>
          <cell r="ES9"/>
          <cell r="ET9"/>
          <cell r="EU9"/>
          <cell r="EV9"/>
          <cell r="EW9"/>
          <cell r="EX9"/>
          <cell r="EY9"/>
          <cell r="EZ9"/>
          <cell r="FA9"/>
          <cell r="FB9"/>
          <cell r="FC9"/>
          <cell r="FD9"/>
          <cell r="FE9"/>
          <cell r="FF9"/>
          <cell r="FG9"/>
          <cell r="FH9"/>
          <cell r="FI9"/>
          <cell r="FJ9">
            <v>3.5000000000000003E-2</v>
          </cell>
          <cell r="FK9">
            <v>3.5000000000000003E-2</v>
          </cell>
          <cell r="FL9"/>
          <cell r="FM9"/>
          <cell r="FN9"/>
          <cell r="FO9"/>
          <cell r="FP9"/>
          <cell r="FQ9"/>
          <cell r="FR9">
            <v>0</v>
          </cell>
          <cell r="FS9">
            <v>0</v>
          </cell>
          <cell r="FU9">
            <v>4</v>
          </cell>
          <cell r="FV9">
            <v>0</v>
          </cell>
          <cell r="FW9">
            <v>1</v>
          </cell>
          <cell r="FX9">
            <v>0</v>
          </cell>
          <cell r="FY9">
            <v>1</v>
          </cell>
          <cell r="FZ9">
            <v>0</v>
          </cell>
          <cell r="GA9">
            <v>1</v>
          </cell>
          <cell r="GB9">
            <v>1</v>
          </cell>
          <cell r="GC9">
            <v>1</v>
          </cell>
          <cell r="GD9">
            <v>0</v>
          </cell>
          <cell r="GE9">
            <v>0</v>
          </cell>
          <cell r="GK9">
            <v>4</v>
          </cell>
          <cell r="GL9">
            <v>3.0000000000000001E-3</v>
          </cell>
          <cell r="GM9">
            <v>0.04</v>
          </cell>
          <cell r="GN9"/>
        </row>
        <row r="10">
          <cell r="AD10">
            <v>4</v>
          </cell>
          <cell r="AE10">
            <v>0.8</v>
          </cell>
          <cell r="AF10">
            <v>0.8</v>
          </cell>
          <cell r="DZ10">
            <v>5</v>
          </cell>
          <cell r="EA10">
            <v>0</v>
          </cell>
          <cell r="EB10">
            <v>0</v>
          </cell>
          <cell r="ED10">
            <v>4</v>
          </cell>
          <cell r="EE10">
            <v>2372.616414877335</v>
          </cell>
          <cell r="EF10"/>
          <cell r="EG10">
            <v>2372.616414877335</v>
          </cell>
          <cell r="EH10"/>
          <cell r="EI10">
            <v>1372.6164148773348</v>
          </cell>
          <cell r="EJ10"/>
          <cell r="EK10"/>
          <cell r="EL10"/>
          <cell r="EM10"/>
          <cell r="EN10"/>
          <cell r="EP10">
            <v>5</v>
          </cell>
          <cell r="EQ10"/>
          <cell r="ER10"/>
          <cell r="ES10"/>
          <cell r="ET10"/>
          <cell r="EU10"/>
          <cell r="EV10"/>
          <cell r="EW10"/>
          <cell r="EX10"/>
          <cell r="EY10"/>
          <cell r="EZ10"/>
          <cell r="FA10"/>
          <cell r="FB10"/>
          <cell r="FC10"/>
          <cell r="FD10"/>
          <cell r="FE10"/>
          <cell r="FF10"/>
          <cell r="FG10"/>
          <cell r="FH10"/>
          <cell r="FI10"/>
          <cell r="FJ10">
            <v>3.5000000000000003E-2</v>
          </cell>
          <cell r="FK10">
            <v>3.5000000000000003E-2</v>
          </cell>
          <cell r="FL10"/>
          <cell r="FM10"/>
          <cell r="FN10"/>
          <cell r="FO10"/>
          <cell r="FP10"/>
          <cell r="FQ10"/>
          <cell r="FR10">
            <v>0</v>
          </cell>
          <cell r="FS10">
            <v>0</v>
          </cell>
          <cell r="FU10">
            <v>5</v>
          </cell>
          <cell r="FV10">
            <v>0</v>
          </cell>
          <cell r="FW10">
            <v>1</v>
          </cell>
          <cell r="FX10">
            <v>0</v>
          </cell>
          <cell r="FY10">
            <v>1</v>
          </cell>
          <cell r="FZ10">
            <v>0</v>
          </cell>
          <cell r="GA10">
            <v>1</v>
          </cell>
          <cell r="GB10">
            <v>1</v>
          </cell>
          <cell r="GC10">
            <v>1</v>
          </cell>
          <cell r="GD10">
            <v>0</v>
          </cell>
          <cell r="GE10">
            <v>0</v>
          </cell>
          <cell r="GK10">
            <v>5</v>
          </cell>
          <cell r="GL10">
            <v>3.0000000000000001E-3</v>
          </cell>
          <cell r="GM10">
            <v>0.04</v>
          </cell>
          <cell r="GN10"/>
        </row>
        <row r="11">
          <cell r="AD11">
            <v>5</v>
          </cell>
          <cell r="AE11">
            <v>0.8</v>
          </cell>
          <cell r="AF11">
            <v>0.8</v>
          </cell>
          <cell r="DZ11">
            <v>6</v>
          </cell>
          <cell r="EA11">
            <v>0</v>
          </cell>
          <cell r="EB11">
            <v>0.02</v>
          </cell>
          <cell r="ED11">
            <v>5</v>
          </cell>
          <cell r="EE11">
            <v>2336.5801032169875</v>
          </cell>
          <cell r="EF11"/>
          <cell r="EG11">
            <v>2336.5801032169875</v>
          </cell>
          <cell r="EH11"/>
          <cell r="EI11">
            <v>1336.5801032169875</v>
          </cell>
          <cell r="EJ11"/>
          <cell r="EK11"/>
          <cell r="EL11"/>
          <cell r="EM11"/>
          <cell r="EN11"/>
          <cell r="EP11">
            <v>6</v>
          </cell>
          <cell r="EQ11"/>
          <cell r="ER11"/>
          <cell r="ES11"/>
          <cell r="ET11"/>
          <cell r="EU11"/>
          <cell r="EV11"/>
          <cell r="EW11"/>
          <cell r="EX11"/>
          <cell r="EY11"/>
          <cell r="EZ11"/>
          <cell r="FA11"/>
          <cell r="FB11"/>
          <cell r="FC11"/>
          <cell r="FD11"/>
          <cell r="FE11"/>
          <cell r="FF11"/>
          <cell r="FG11"/>
          <cell r="FH11"/>
          <cell r="FI11"/>
          <cell r="FJ11">
            <v>3.5000000000000003E-2</v>
          </cell>
          <cell r="FK11">
            <v>3.5000000000000003E-2</v>
          </cell>
          <cell r="FL11"/>
          <cell r="FM11"/>
          <cell r="FN11"/>
          <cell r="FO11"/>
          <cell r="FP11"/>
          <cell r="FQ11"/>
          <cell r="FR11">
            <v>0</v>
          </cell>
          <cell r="FS11">
            <v>0</v>
          </cell>
          <cell r="FU11">
            <v>6</v>
          </cell>
          <cell r="FV11">
            <v>0</v>
          </cell>
          <cell r="FW11">
            <v>1</v>
          </cell>
          <cell r="FX11">
            <v>0</v>
          </cell>
          <cell r="FY11">
            <v>1</v>
          </cell>
          <cell r="FZ11">
            <v>0</v>
          </cell>
          <cell r="GA11">
            <v>1</v>
          </cell>
          <cell r="GB11">
            <v>1</v>
          </cell>
          <cell r="GC11">
            <v>1</v>
          </cell>
          <cell r="GD11">
            <v>0</v>
          </cell>
          <cell r="GE11">
            <v>0</v>
          </cell>
          <cell r="GK11">
            <v>6</v>
          </cell>
          <cell r="GL11">
            <v>3.0000000000000001E-3</v>
          </cell>
          <cell r="GM11">
            <v>0.04</v>
          </cell>
          <cell r="GN11"/>
        </row>
        <row r="12">
          <cell r="AD12">
            <v>6</v>
          </cell>
          <cell r="AE12">
            <v>0.8</v>
          </cell>
          <cell r="AF12">
            <v>0.8</v>
          </cell>
          <cell r="DZ12">
            <v>7</v>
          </cell>
          <cell r="EA12">
            <v>0</v>
          </cell>
          <cell r="EB12">
            <v>0</v>
          </cell>
          <cell r="ED12">
            <v>6</v>
          </cell>
          <cell r="EE12">
            <v>2297.6608866238121</v>
          </cell>
          <cell r="EF12"/>
          <cell r="EG12">
            <v>2297.6608866238121</v>
          </cell>
          <cell r="EH12"/>
          <cell r="EI12">
            <v>1297.6608866238121</v>
          </cell>
          <cell r="EJ12"/>
          <cell r="EK12"/>
          <cell r="EL12"/>
          <cell r="EM12"/>
          <cell r="EN12"/>
          <cell r="EP12">
            <v>7</v>
          </cell>
          <cell r="EQ12"/>
          <cell r="ER12"/>
          <cell r="ES12"/>
          <cell r="ET12"/>
          <cell r="EU12"/>
          <cell r="EV12"/>
          <cell r="EW12"/>
          <cell r="EX12"/>
          <cell r="EY12"/>
          <cell r="EZ12"/>
          <cell r="FA12"/>
          <cell r="FB12"/>
          <cell r="FC12"/>
          <cell r="FD12"/>
          <cell r="FE12"/>
          <cell r="FF12"/>
          <cell r="FG12"/>
          <cell r="FH12"/>
          <cell r="FI12"/>
          <cell r="FJ12">
            <v>3.5000000000000003E-2</v>
          </cell>
          <cell r="FK12">
            <v>3.5000000000000003E-2</v>
          </cell>
          <cell r="FL12"/>
          <cell r="FM12"/>
          <cell r="FN12"/>
          <cell r="FO12"/>
          <cell r="FP12"/>
          <cell r="FQ12"/>
          <cell r="FR12">
            <v>0</v>
          </cell>
          <cell r="FS12">
            <v>0</v>
          </cell>
          <cell r="FU12">
            <v>7</v>
          </cell>
          <cell r="FV12">
            <v>0</v>
          </cell>
          <cell r="FW12">
            <v>1</v>
          </cell>
          <cell r="FX12">
            <v>0</v>
          </cell>
          <cell r="FY12">
            <v>1</v>
          </cell>
          <cell r="FZ12">
            <v>0</v>
          </cell>
          <cell r="GA12">
            <v>1</v>
          </cell>
          <cell r="GB12">
            <v>1</v>
          </cell>
          <cell r="GC12">
            <v>1</v>
          </cell>
          <cell r="GD12">
            <v>0</v>
          </cell>
          <cell r="GE12">
            <v>0</v>
          </cell>
          <cell r="GK12">
            <v>7</v>
          </cell>
          <cell r="GL12">
            <v>3.0000000000000001E-3</v>
          </cell>
          <cell r="GM12">
            <v>0.04</v>
          </cell>
          <cell r="GN12"/>
        </row>
        <row r="13">
          <cell r="AD13">
            <v>7</v>
          </cell>
          <cell r="AE13">
            <v>0.8</v>
          </cell>
          <cell r="AF13">
            <v>0.8</v>
          </cell>
          <cell r="DZ13">
            <v>8</v>
          </cell>
          <cell r="EA13">
            <v>0</v>
          </cell>
          <cell r="EB13">
            <v>0.02</v>
          </cell>
          <cell r="ED13">
            <v>7</v>
          </cell>
          <cell r="EE13">
            <v>2255.6281327031834</v>
          </cell>
          <cell r="EF13"/>
          <cell r="EG13">
            <v>2255.6281327031834</v>
          </cell>
          <cell r="EH13"/>
          <cell r="EI13">
            <v>1255.6281327031834</v>
          </cell>
          <cell r="EJ13"/>
          <cell r="EK13"/>
          <cell r="EL13"/>
          <cell r="EM13"/>
          <cell r="EN13"/>
          <cell r="EP13">
            <v>8</v>
          </cell>
          <cell r="EQ13"/>
          <cell r="ER13"/>
          <cell r="ES13"/>
          <cell r="ET13"/>
          <cell r="EU13"/>
          <cell r="EV13"/>
          <cell r="EW13"/>
          <cell r="EX13"/>
          <cell r="EY13"/>
          <cell r="EZ13"/>
          <cell r="FA13"/>
          <cell r="FB13"/>
          <cell r="FC13"/>
          <cell r="FD13"/>
          <cell r="FE13"/>
          <cell r="FF13"/>
          <cell r="FG13"/>
          <cell r="FH13"/>
          <cell r="FI13"/>
          <cell r="FJ13">
            <v>3.5000000000000003E-2</v>
          </cell>
          <cell r="FK13">
            <v>3.5000000000000003E-2</v>
          </cell>
          <cell r="FL13"/>
          <cell r="FM13"/>
          <cell r="FN13"/>
          <cell r="FO13"/>
          <cell r="FP13"/>
          <cell r="FQ13"/>
          <cell r="FR13">
            <v>0</v>
          </cell>
          <cell r="FS13">
            <v>0</v>
          </cell>
          <cell r="FU13">
            <v>8</v>
          </cell>
          <cell r="FV13">
            <v>0</v>
          </cell>
          <cell r="FW13">
            <v>1</v>
          </cell>
          <cell r="FX13">
            <v>0</v>
          </cell>
          <cell r="FY13">
            <v>1</v>
          </cell>
          <cell r="FZ13">
            <v>0</v>
          </cell>
          <cell r="GA13">
            <v>1</v>
          </cell>
          <cell r="GB13">
            <v>1</v>
          </cell>
          <cell r="GC13">
            <v>1</v>
          </cell>
          <cell r="GD13">
            <v>0</v>
          </cell>
          <cell r="GE13">
            <v>0</v>
          </cell>
          <cell r="GK13">
            <v>8</v>
          </cell>
          <cell r="GL13">
            <v>3.0000000000000001E-3</v>
          </cell>
          <cell r="GM13">
            <v>0.04</v>
          </cell>
          <cell r="GN13"/>
        </row>
        <row r="14">
          <cell r="AD14">
            <v>8</v>
          </cell>
          <cell r="AE14">
            <v>0.8</v>
          </cell>
          <cell r="AF14">
            <v>0.8</v>
          </cell>
          <cell r="DZ14">
            <v>9</v>
          </cell>
          <cell r="EA14">
            <v>0</v>
          </cell>
          <cell r="EB14">
            <v>0</v>
          </cell>
          <cell r="ED14">
            <v>8</v>
          </cell>
          <cell r="EE14">
            <v>2210.2327584689037</v>
          </cell>
          <cell r="EF14"/>
          <cell r="EG14">
            <v>2210.2327584689037</v>
          </cell>
          <cell r="EH14"/>
          <cell r="EI14">
            <v>1210.2327584689037</v>
          </cell>
          <cell r="EJ14"/>
          <cell r="EK14"/>
          <cell r="EL14"/>
          <cell r="EM14"/>
          <cell r="EN14"/>
          <cell r="EP14">
            <v>9</v>
          </cell>
          <cell r="EQ14"/>
          <cell r="ER14"/>
          <cell r="ES14"/>
          <cell r="ET14"/>
          <cell r="EU14"/>
          <cell r="EV14"/>
          <cell r="EW14"/>
          <cell r="EX14"/>
          <cell r="EY14"/>
          <cell r="EZ14"/>
          <cell r="FA14"/>
          <cell r="FB14"/>
          <cell r="FC14"/>
          <cell r="FD14"/>
          <cell r="FE14"/>
          <cell r="FF14"/>
          <cell r="FG14"/>
          <cell r="FH14"/>
          <cell r="FI14"/>
          <cell r="FJ14">
            <v>3.5000000000000003E-2</v>
          </cell>
          <cell r="FK14">
            <v>3.5000000000000003E-2</v>
          </cell>
          <cell r="FL14"/>
          <cell r="FM14"/>
          <cell r="FN14"/>
          <cell r="FO14"/>
          <cell r="FP14"/>
          <cell r="FQ14"/>
          <cell r="FR14">
            <v>0</v>
          </cell>
          <cell r="FS14">
            <v>0</v>
          </cell>
          <cell r="FU14">
            <v>9</v>
          </cell>
          <cell r="FV14">
            <v>0</v>
          </cell>
          <cell r="FW14">
            <v>1</v>
          </cell>
          <cell r="FX14">
            <v>0</v>
          </cell>
          <cell r="FY14">
            <v>1</v>
          </cell>
          <cell r="FZ14">
            <v>0</v>
          </cell>
          <cell r="GA14">
            <v>1</v>
          </cell>
          <cell r="GB14">
            <v>1</v>
          </cell>
          <cell r="GC14">
            <v>0</v>
          </cell>
          <cell r="GD14">
            <v>0</v>
          </cell>
          <cell r="GE14">
            <v>0</v>
          </cell>
          <cell r="GK14">
            <v>9</v>
          </cell>
          <cell r="GL14">
            <v>3.0000000000000001E-3</v>
          </cell>
          <cell r="GM14">
            <v>0.04</v>
          </cell>
          <cell r="GN14"/>
        </row>
        <row r="15">
          <cell r="AD15">
            <v>9</v>
          </cell>
          <cell r="AE15">
            <v>0.8</v>
          </cell>
          <cell r="AF15">
            <v>0.8</v>
          </cell>
          <cell r="DZ15">
            <v>10</v>
          </cell>
          <cell r="EA15">
            <v>0</v>
          </cell>
          <cell r="EB15">
            <v>0.02</v>
          </cell>
          <cell r="ED15">
            <v>9</v>
          </cell>
          <cell r="EE15">
            <v>2161.2057542958819</v>
          </cell>
          <cell r="EF15"/>
          <cell r="EG15">
            <v>2161.2057542958819</v>
          </cell>
          <cell r="EH15"/>
          <cell r="EI15">
            <v>1161.2057542958819</v>
          </cell>
          <cell r="EJ15"/>
          <cell r="EK15"/>
          <cell r="EL15"/>
          <cell r="EM15"/>
          <cell r="EN15"/>
          <cell r="EP15">
            <v>10</v>
          </cell>
          <cell r="EQ15"/>
          <cell r="ER15"/>
          <cell r="ES15"/>
          <cell r="ET15"/>
          <cell r="EU15"/>
          <cell r="EV15"/>
          <cell r="EW15"/>
          <cell r="EX15"/>
          <cell r="EY15"/>
          <cell r="EZ15"/>
          <cell r="FA15"/>
          <cell r="FB15"/>
          <cell r="FC15"/>
          <cell r="FD15"/>
          <cell r="FE15"/>
          <cell r="FF15"/>
          <cell r="FG15"/>
          <cell r="FH15"/>
          <cell r="FI15"/>
          <cell r="FJ15">
            <v>3.5000000000000003E-2</v>
          </cell>
          <cell r="FK15">
            <v>3.5000000000000003E-2</v>
          </cell>
          <cell r="FL15"/>
          <cell r="FM15"/>
          <cell r="FN15"/>
          <cell r="FO15"/>
          <cell r="FP15"/>
          <cell r="FQ15"/>
          <cell r="FR15">
            <v>0</v>
          </cell>
          <cell r="FS15">
            <v>0</v>
          </cell>
          <cell r="FU15">
            <v>10</v>
          </cell>
          <cell r="FV15">
            <v>0</v>
          </cell>
          <cell r="FW15">
            <v>1</v>
          </cell>
          <cell r="FX15">
            <v>0</v>
          </cell>
          <cell r="FY15">
            <v>1</v>
          </cell>
          <cell r="FZ15">
            <v>0</v>
          </cell>
          <cell r="GA15">
            <v>1</v>
          </cell>
          <cell r="GB15">
            <v>1</v>
          </cell>
          <cell r="GC15">
            <v>0</v>
          </cell>
          <cell r="GD15">
            <v>0</v>
          </cell>
          <cell r="GE15">
            <v>0</v>
          </cell>
          <cell r="GK15">
            <v>10</v>
          </cell>
          <cell r="GL15">
            <v>3.0000000000000001E-3</v>
          </cell>
          <cell r="GM15">
            <v>0.04</v>
          </cell>
          <cell r="GN15"/>
        </row>
        <row r="16">
          <cell r="AD16">
            <v>10</v>
          </cell>
          <cell r="AE16">
            <v>0.8</v>
          </cell>
          <cell r="AF16">
            <v>0.8</v>
          </cell>
          <cell r="DZ16">
            <v>11</v>
          </cell>
          <cell r="EA16">
            <v>0</v>
          </cell>
          <cell r="EB16">
            <v>0</v>
          </cell>
          <cell r="ED16">
            <v>10</v>
          </cell>
          <cell r="EE16">
            <v>2108.2565897890181</v>
          </cell>
          <cell r="EF16"/>
          <cell r="EG16">
            <v>2108.2565897890181</v>
          </cell>
          <cell r="EH16"/>
          <cell r="EI16">
            <v>1108.2565897890181</v>
          </cell>
          <cell r="EJ16"/>
          <cell r="EK16"/>
          <cell r="EL16"/>
          <cell r="EM16"/>
          <cell r="EN16"/>
          <cell r="EP16">
            <v>11</v>
          </cell>
          <cell r="EQ16"/>
          <cell r="ER16"/>
          <cell r="ES16"/>
          <cell r="ET16"/>
          <cell r="EU16"/>
          <cell r="EV16"/>
          <cell r="EW16"/>
          <cell r="EX16"/>
          <cell r="EY16"/>
          <cell r="EZ16"/>
          <cell r="FA16"/>
          <cell r="FB16"/>
          <cell r="FC16"/>
          <cell r="FD16"/>
          <cell r="FE16"/>
          <cell r="FF16"/>
          <cell r="FG16"/>
          <cell r="FH16"/>
          <cell r="FI16"/>
          <cell r="FJ16">
            <v>3.5000000000000003E-2</v>
          </cell>
          <cell r="FK16">
            <v>3.5000000000000003E-2</v>
          </cell>
          <cell r="FL16"/>
          <cell r="FM16"/>
          <cell r="FN16"/>
          <cell r="FO16"/>
          <cell r="FP16"/>
          <cell r="FQ16"/>
          <cell r="FR16">
            <v>0</v>
          </cell>
          <cell r="FS16">
            <v>0</v>
          </cell>
          <cell r="FU16">
            <v>11</v>
          </cell>
          <cell r="FV16">
            <v>0</v>
          </cell>
          <cell r="FW16">
            <v>1</v>
          </cell>
          <cell r="FX16">
            <v>0</v>
          </cell>
          <cell r="FY16">
            <v>1</v>
          </cell>
          <cell r="FZ16">
            <v>0</v>
          </cell>
          <cell r="GA16">
            <v>1</v>
          </cell>
          <cell r="GB16">
            <v>1</v>
          </cell>
          <cell r="GC16">
            <v>0</v>
          </cell>
          <cell r="GD16">
            <v>0</v>
          </cell>
          <cell r="GE16">
            <v>0</v>
          </cell>
          <cell r="GK16">
            <v>11</v>
          </cell>
          <cell r="GL16">
            <v>3.0000000000000001E-3</v>
          </cell>
          <cell r="GM16">
            <v>0.04</v>
          </cell>
          <cell r="GN16"/>
        </row>
        <row r="17">
          <cell r="AD17">
            <v>11</v>
          </cell>
          <cell r="AE17">
            <v>0.8</v>
          </cell>
          <cell r="AF17">
            <v>0.8</v>
          </cell>
          <cell r="DZ17">
            <v>12</v>
          </cell>
          <cell r="EA17">
            <v>0</v>
          </cell>
          <cell r="EB17">
            <v>0.02</v>
          </cell>
          <cell r="ED17">
            <v>11</v>
          </cell>
          <cell r="EE17">
            <v>2051.0714921216054</v>
          </cell>
          <cell r="EF17"/>
          <cell r="EG17">
            <v>2051.0714921216054</v>
          </cell>
          <cell r="EH17"/>
          <cell r="EI17">
            <v>1051.0714921216054</v>
          </cell>
          <cell r="EJ17"/>
          <cell r="EK17"/>
          <cell r="EL17"/>
          <cell r="EM17"/>
          <cell r="EN17"/>
          <cell r="EP17">
            <v>12</v>
          </cell>
          <cell r="EQ17"/>
          <cell r="ER17"/>
          <cell r="ES17"/>
          <cell r="ET17"/>
          <cell r="EU17"/>
          <cell r="EV17"/>
          <cell r="EW17"/>
          <cell r="EX17"/>
          <cell r="EY17"/>
          <cell r="EZ17"/>
          <cell r="FA17"/>
          <cell r="FB17"/>
          <cell r="FC17"/>
          <cell r="FD17"/>
          <cell r="FE17"/>
          <cell r="FF17"/>
          <cell r="FG17"/>
          <cell r="FH17"/>
          <cell r="FI17"/>
          <cell r="FJ17">
            <v>3.5000000000000003E-2</v>
          </cell>
          <cell r="FK17">
            <v>3.5000000000000003E-2</v>
          </cell>
          <cell r="FL17"/>
          <cell r="FM17"/>
          <cell r="FN17"/>
          <cell r="FO17"/>
          <cell r="FP17"/>
          <cell r="FQ17"/>
          <cell r="FR17">
            <v>0</v>
          </cell>
          <cell r="FS17">
            <v>0</v>
          </cell>
          <cell r="FU17">
            <v>12</v>
          </cell>
          <cell r="FV17">
            <v>0</v>
          </cell>
          <cell r="FW17">
            <v>1</v>
          </cell>
          <cell r="FX17">
            <v>0</v>
          </cell>
          <cell r="FY17">
            <v>1</v>
          </cell>
          <cell r="FZ17">
            <v>0</v>
          </cell>
          <cell r="GA17">
            <v>1</v>
          </cell>
          <cell r="GB17">
            <v>1</v>
          </cell>
          <cell r="GC17">
            <v>0</v>
          </cell>
          <cell r="GD17">
            <v>0</v>
          </cell>
          <cell r="GE17">
            <v>0</v>
          </cell>
          <cell r="GK17">
            <v>12</v>
          </cell>
          <cell r="GL17">
            <v>3.0000000000000001E-3</v>
          </cell>
          <cell r="GM17">
            <v>0.04</v>
          </cell>
          <cell r="GN17"/>
        </row>
        <row r="18">
          <cell r="AD18">
            <v>12</v>
          </cell>
          <cell r="AE18">
            <v>0.8</v>
          </cell>
          <cell r="AF18">
            <v>0.8</v>
          </cell>
          <cell r="DZ18">
            <v>13</v>
          </cell>
          <cell r="EA18">
            <v>0</v>
          </cell>
          <cell r="EB18">
            <v>0</v>
          </cell>
          <cell r="ED18">
            <v>12</v>
          </cell>
          <cell r="EE18">
            <v>1989.3115866407998</v>
          </cell>
          <cell r="EF18"/>
          <cell r="EG18">
            <v>1989.3115866407998</v>
          </cell>
          <cell r="EH18"/>
          <cell r="EI18">
            <v>989.31158664079976</v>
          </cell>
          <cell r="EJ18"/>
          <cell r="EK18"/>
          <cell r="EL18"/>
          <cell r="EM18"/>
          <cell r="EN18"/>
          <cell r="EP18">
            <v>13</v>
          </cell>
          <cell r="EQ18"/>
          <cell r="ER18"/>
          <cell r="ES18"/>
          <cell r="ET18"/>
          <cell r="EU18"/>
          <cell r="EV18"/>
          <cell r="EW18"/>
          <cell r="EX18"/>
          <cell r="EY18"/>
          <cell r="EZ18"/>
          <cell r="FA18"/>
          <cell r="FB18"/>
          <cell r="FC18"/>
          <cell r="FD18"/>
          <cell r="FE18"/>
          <cell r="FF18"/>
          <cell r="FG18"/>
          <cell r="FH18"/>
          <cell r="FI18"/>
          <cell r="FJ18">
            <v>3.5000000000000003E-2</v>
          </cell>
          <cell r="FK18">
            <v>3.5000000000000003E-2</v>
          </cell>
          <cell r="FL18"/>
          <cell r="FM18"/>
          <cell r="FN18"/>
          <cell r="FO18"/>
          <cell r="FP18"/>
          <cell r="FQ18"/>
          <cell r="FR18">
            <v>0</v>
          </cell>
          <cell r="FS18">
            <v>0</v>
          </cell>
          <cell r="FU18">
            <v>13</v>
          </cell>
          <cell r="FV18">
            <v>0</v>
          </cell>
          <cell r="FW18">
            <v>1</v>
          </cell>
          <cell r="FX18">
            <v>1</v>
          </cell>
          <cell r="FY18">
            <v>1</v>
          </cell>
          <cell r="FZ18">
            <v>0</v>
          </cell>
          <cell r="GA18">
            <v>1</v>
          </cell>
          <cell r="GB18">
            <v>1</v>
          </cell>
          <cell r="GC18">
            <v>0</v>
          </cell>
          <cell r="GD18">
            <v>0</v>
          </cell>
          <cell r="GE18">
            <v>1</v>
          </cell>
          <cell r="GK18">
            <v>13</v>
          </cell>
          <cell r="GL18">
            <v>3.0000000000000001E-3</v>
          </cell>
          <cell r="GM18">
            <v>0.04</v>
          </cell>
          <cell r="GN18"/>
        </row>
        <row r="19">
          <cell r="AD19">
            <v>13</v>
          </cell>
          <cell r="AE19">
            <v>0.8</v>
          </cell>
          <cell r="AF19">
            <v>0.8</v>
          </cell>
          <cell r="DZ19">
            <v>14</v>
          </cell>
          <cell r="EA19">
            <v>0</v>
          </cell>
          <cell r="EB19">
            <v>0.02</v>
          </cell>
          <cell r="ED19">
            <v>13</v>
          </cell>
          <cell r="EE19">
            <v>1922.6108887215296</v>
          </cell>
          <cell r="EF19"/>
          <cell r="EG19">
            <v>1922.6108887215296</v>
          </cell>
          <cell r="EH19"/>
          <cell r="EI19">
            <v>922.61088872152959</v>
          </cell>
          <cell r="EJ19"/>
          <cell r="EK19"/>
          <cell r="EL19"/>
          <cell r="EM19"/>
          <cell r="EN19"/>
          <cell r="EP19">
            <v>14</v>
          </cell>
          <cell r="EQ19"/>
          <cell r="ER19"/>
          <cell r="ES19"/>
          <cell r="ET19"/>
          <cell r="EU19"/>
          <cell r="EV19"/>
          <cell r="EW19"/>
          <cell r="EX19"/>
          <cell r="EY19"/>
          <cell r="EZ19"/>
          <cell r="FA19"/>
          <cell r="FB19"/>
          <cell r="FC19"/>
          <cell r="FD19"/>
          <cell r="FE19"/>
          <cell r="FF19"/>
          <cell r="FG19"/>
          <cell r="FH19"/>
          <cell r="FI19"/>
          <cell r="FJ19">
            <v>3.5000000000000003E-2</v>
          </cell>
          <cell r="FK19">
            <v>3.5000000000000003E-2</v>
          </cell>
          <cell r="FL19"/>
          <cell r="FM19"/>
          <cell r="FN19"/>
          <cell r="FO19"/>
          <cell r="FP19"/>
          <cell r="FQ19"/>
          <cell r="FR19">
            <v>0</v>
          </cell>
          <cell r="FS19">
            <v>0</v>
          </cell>
          <cell r="FU19">
            <v>14</v>
          </cell>
          <cell r="FV19">
            <v>0</v>
          </cell>
          <cell r="FW19">
            <v>1</v>
          </cell>
          <cell r="FX19">
            <v>0</v>
          </cell>
          <cell r="FY19">
            <v>1</v>
          </cell>
          <cell r="FZ19">
            <v>0</v>
          </cell>
          <cell r="GA19">
            <v>1</v>
          </cell>
          <cell r="GB19">
            <v>1</v>
          </cell>
          <cell r="GC19">
            <v>0</v>
          </cell>
          <cell r="GD19">
            <v>0</v>
          </cell>
          <cell r="GE19">
            <v>0</v>
          </cell>
          <cell r="GK19">
            <v>14</v>
          </cell>
          <cell r="GL19">
            <v>3.0000000000000001E-3</v>
          </cell>
          <cell r="GM19">
            <v>0.04</v>
          </cell>
          <cell r="GN19"/>
        </row>
        <row r="20">
          <cell r="AD20">
            <v>14</v>
          </cell>
          <cell r="AE20">
            <v>0.8</v>
          </cell>
          <cell r="AF20">
            <v>0.8</v>
          </cell>
          <cell r="DZ20">
            <v>15</v>
          </cell>
          <cell r="EA20">
            <v>0</v>
          </cell>
          <cell r="EB20">
            <v>0</v>
          </cell>
          <cell r="ED20">
            <v>14</v>
          </cell>
          <cell r="EE20">
            <v>1850.5741349687178</v>
          </cell>
          <cell r="EF20"/>
          <cell r="EG20">
            <v>1850.5741349687178</v>
          </cell>
          <cell r="EH20"/>
          <cell r="EI20">
            <v>850.57413496871777</v>
          </cell>
          <cell r="EJ20"/>
          <cell r="EK20"/>
          <cell r="EL20"/>
          <cell r="EM20"/>
          <cell r="EN20"/>
          <cell r="EP20">
            <v>15</v>
          </cell>
          <cell r="EQ20"/>
          <cell r="ER20"/>
          <cell r="ES20"/>
          <cell r="ET20"/>
          <cell r="EU20"/>
          <cell r="EV20"/>
          <cell r="EW20"/>
          <cell r="EX20"/>
          <cell r="EY20"/>
          <cell r="EZ20"/>
          <cell r="FA20"/>
          <cell r="FB20"/>
          <cell r="FC20"/>
          <cell r="FD20"/>
          <cell r="FE20"/>
          <cell r="FF20"/>
          <cell r="FG20"/>
          <cell r="FH20"/>
          <cell r="FI20"/>
          <cell r="FJ20">
            <v>3.5000000000000003E-2</v>
          </cell>
          <cell r="FK20">
            <v>3.5000000000000003E-2</v>
          </cell>
          <cell r="FL20"/>
          <cell r="FM20"/>
          <cell r="FN20"/>
          <cell r="FO20"/>
          <cell r="FP20"/>
          <cell r="FQ20"/>
          <cell r="FR20">
            <v>0</v>
          </cell>
          <cell r="FS20">
            <v>0</v>
          </cell>
          <cell r="FU20">
            <v>15</v>
          </cell>
          <cell r="FV20">
            <v>0</v>
          </cell>
          <cell r="FW20">
            <v>1</v>
          </cell>
          <cell r="FX20">
            <v>0</v>
          </cell>
          <cell r="FY20">
            <v>1</v>
          </cell>
          <cell r="FZ20">
            <v>0</v>
          </cell>
          <cell r="GA20">
            <v>1</v>
          </cell>
          <cell r="GB20">
            <v>1</v>
          </cell>
          <cell r="GC20">
            <v>0</v>
          </cell>
          <cell r="GD20">
            <v>0</v>
          </cell>
          <cell r="GE20">
            <v>0</v>
          </cell>
          <cell r="GK20">
            <v>15</v>
          </cell>
          <cell r="GL20">
            <v>3.0000000000000001E-3</v>
          </cell>
          <cell r="GM20">
            <v>0.04</v>
          </cell>
          <cell r="GN20"/>
        </row>
        <row r="21">
          <cell r="AD21">
            <v>15</v>
          </cell>
          <cell r="AE21">
            <v>0.8</v>
          </cell>
          <cell r="AF21">
            <v>0.8</v>
          </cell>
          <cell r="DZ21">
            <v>16</v>
          </cell>
          <cell r="EA21">
            <v>0</v>
          </cell>
          <cell r="EB21">
            <v>0.02</v>
          </cell>
          <cell r="ED21">
            <v>15</v>
          </cell>
          <cell r="EE21">
            <v>1772.774440915681</v>
          </cell>
          <cell r="EF21"/>
          <cell r="EG21">
            <v>1772.774440915681</v>
          </cell>
          <cell r="EH21"/>
          <cell r="EI21">
            <v>772.774440915681</v>
          </cell>
          <cell r="EJ21"/>
          <cell r="EK21"/>
          <cell r="EL21"/>
          <cell r="EM21"/>
          <cell r="EN21"/>
          <cell r="EP21">
            <v>16</v>
          </cell>
          <cell r="EQ21"/>
          <cell r="ER21"/>
          <cell r="ES21"/>
          <cell r="ET21"/>
          <cell r="EU21"/>
          <cell r="EV21"/>
          <cell r="EW21"/>
          <cell r="EX21"/>
          <cell r="EY21"/>
          <cell r="EZ21"/>
          <cell r="FA21"/>
          <cell r="FB21"/>
          <cell r="FC21"/>
          <cell r="FD21"/>
          <cell r="FE21"/>
          <cell r="FF21"/>
          <cell r="FG21"/>
          <cell r="FH21"/>
          <cell r="FI21"/>
          <cell r="FJ21">
            <v>3.5000000000000003E-2</v>
          </cell>
          <cell r="FK21">
            <v>3.5000000000000003E-2</v>
          </cell>
          <cell r="FL21"/>
          <cell r="FM21"/>
          <cell r="FN21"/>
          <cell r="FO21"/>
          <cell r="FP21"/>
          <cell r="FQ21"/>
          <cell r="FR21">
            <v>0</v>
          </cell>
          <cell r="FS21">
            <v>0</v>
          </cell>
          <cell r="FU21">
            <v>16</v>
          </cell>
          <cell r="FV21">
            <v>0</v>
          </cell>
          <cell r="FW21">
            <v>1</v>
          </cell>
          <cell r="FX21">
            <v>0</v>
          </cell>
          <cell r="FY21">
            <v>1</v>
          </cell>
          <cell r="FZ21">
            <v>0</v>
          </cell>
          <cell r="GA21">
            <v>1</v>
          </cell>
          <cell r="GB21">
            <v>1</v>
          </cell>
          <cell r="GC21">
            <v>0</v>
          </cell>
          <cell r="GD21">
            <v>0</v>
          </cell>
          <cell r="GE21">
            <v>0</v>
          </cell>
          <cell r="GK21">
            <v>16</v>
          </cell>
          <cell r="GL21">
            <v>3.0000000000000001E-3</v>
          </cell>
          <cell r="GM21">
            <v>0.04</v>
          </cell>
          <cell r="GN21"/>
        </row>
        <row r="22">
          <cell r="AD22">
            <v>16</v>
          </cell>
          <cell r="AE22">
            <v>0.8</v>
          </cell>
          <cell r="AF22">
            <v>0.8</v>
          </cell>
          <cell r="DZ22">
            <v>17</v>
          </cell>
          <cell r="EA22">
            <v>0</v>
          </cell>
          <cell r="EB22">
            <v>0</v>
          </cell>
          <cell r="ED22">
            <v>16</v>
          </cell>
          <cell r="EE22">
            <v>1688.7507713384011</v>
          </cell>
          <cell r="EF22"/>
          <cell r="EG22">
            <v>1688.7507713384011</v>
          </cell>
          <cell r="EH22"/>
          <cell r="EI22">
            <v>688.75077133840114</v>
          </cell>
          <cell r="EJ22"/>
          <cell r="EK22"/>
          <cell r="EL22"/>
          <cell r="EM22"/>
          <cell r="EN22"/>
          <cell r="EP22">
            <v>17</v>
          </cell>
          <cell r="EQ22"/>
          <cell r="ER22"/>
          <cell r="ES22"/>
          <cell r="ET22"/>
          <cell r="EU22"/>
          <cell r="EV22"/>
          <cell r="EW22"/>
          <cell r="EX22"/>
          <cell r="EY22"/>
          <cell r="EZ22"/>
          <cell r="FA22"/>
          <cell r="FB22"/>
          <cell r="FC22"/>
          <cell r="FD22"/>
          <cell r="FE22"/>
          <cell r="FF22"/>
          <cell r="FG22"/>
          <cell r="FH22"/>
          <cell r="FI22"/>
          <cell r="FJ22">
            <v>3.5000000000000003E-2</v>
          </cell>
          <cell r="FK22">
            <v>3.5000000000000003E-2</v>
          </cell>
          <cell r="FL22"/>
          <cell r="FM22"/>
          <cell r="FN22"/>
          <cell r="FO22"/>
          <cell r="FP22"/>
          <cell r="FQ22"/>
          <cell r="FR22">
            <v>0</v>
          </cell>
          <cell r="FS22">
            <v>0</v>
          </cell>
          <cell r="FU22">
            <v>17</v>
          </cell>
          <cell r="FV22">
            <v>0</v>
          </cell>
          <cell r="FW22">
            <v>1</v>
          </cell>
          <cell r="FX22">
            <v>0</v>
          </cell>
          <cell r="FY22">
            <v>1</v>
          </cell>
          <cell r="FZ22">
            <v>0</v>
          </cell>
          <cell r="GA22">
            <v>1</v>
          </cell>
          <cell r="GB22">
            <v>1</v>
          </cell>
          <cell r="GC22">
            <v>0</v>
          </cell>
          <cell r="GD22">
            <v>0</v>
          </cell>
          <cell r="GE22">
            <v>0</v>
          </cell>
          <cell r="GK22">
            <v>17</v>
          </cell>
          <cell r="GL22">
            <v>3.0000000000000001E-3</v>
          </cell>
          <cell r="GM22">
            <v>0.04</v>
          </cell>
          <cell r="GN22"/>
        </row>
        <row r="23">
          <cell r="AD23">
            <v>17</v>
          </cell>
          <cell r="AE23">
            <v>0.8</v>
          </cell>
          <cell r="AF23">
            <v>0.8</v>
          </cell>
          <cell r="DZ23">
            <v>18</v>
          </cell>
          <cell r="EA23">
            <v>0</v>
          </cell>
          <cell r="EB23">
            <v>0.3</v>
          </cell>
          <cell r="ED23">
            <v>17</v>
          </cell>
          <cell r="EE23">
            <v>1598.0052081949391</v>
          </cell>
          <cell r="EF23"/>
          <cell r="EG23">
            <v>1598.0052081949391</v>
          </cell>
          <cell r="EH23"/>
          <cell r="EI23">
            <v>598.00520819493909</v>
          </cell>
          <cell r="EJ23"/>
          <cell r="EK23"/>
          <cell r="EL23"/>
          <cell r="EM23"/>
          <cell r="EN23"/>
          <cell r="EP23">
            <v>18</v>
          </cell>
          <cell r="EQ23"/>
          <cell r="ER23"/>
          <cell r="ES23"/>
          <cell r="ET23"/>
          <cell r="EU23"/>
          <cell r="EV23"/>
          <cell r="EW23"/>
          <cell r="EX23"/>
          <cell r="EY23"/>
          <cell r="EZ23"/>
          <cell r="FA23"/>
          <cell r="FB23"/>
          <cell r="FC23"/>
          <cell r="FD23"/>
          <cell r="FE23"/>
          <cell r="FF23"/>
          <cell r="FG23"/>
          <cell r="FH23"/>
          <cell r="FI23"/>
          <cell r="FJ23">
            <v>3.5000000000000003E-2</v>
          </cell>
          <cell r="FK23">
            <v>3.5000000000000003E-2</v>
          </cell>
          <cell r="FL23"/>
          <cell r="FM23"/>
          <cell r="FN23"/>
          <cell r="FO23"/>
          <cell r="FP23"/>
          <cell r="FQ23"/>
          <cell r="FR23">
            <v>0.35</v>
          </cell>
          <cell r="FS23">
            <v>0.35</v>
          </cell>
          <cell r="FU23">
            <v>18</v>
          </cell>
          <cell r="FV23">
            <v>0</v>
          </cell>
          <cell r="FW23">
            <v>1</v>
          </cell>
          <cell r="FX23">
            <v>0</v>
          </cell>
          <cell r="FY23">
            <v>1</v>
          </cell>
          <cell r="FZ23">
            <v>0</v>
          </cell>
          <cell r="GA23">
            <v>1</v>
          </cell>
          <cell r="GB23">
            <v>1</v>
          </cell>
          <cell r="GC23">
            <v>0</v>
          </cell>
          <cell r="GD23">
            <v>0</v>
          </cell>
          <cell r="GE23">
            <v>0</v>
          </cell>
          <cell r="GK23">
            <v>18</v>
          </cell>
          <cell r="GL23">
            <v>3.0000000000000001E-3</v>
          </cell>
          <cell r="GM23">
            <v>0.04</v>
          </cell>
          <cell r="GN23"/>
        </row>
        <row r="24">
          <cell r="AD24">
            <v>18</v>
          </cell>
          <cell r="AE24">
            <v>0.8</v>
          </cell>
          <cell r="AF24">
            <v>0.8</v>
          </cell>
          <cell r="DZ24">
            <v>19</v>
          </cell>
          <cell r="EA24">
            <v>0</v>
          </cell>
          <cell r="EB24">
            <v>0.3</v>
          </cell>
          <cell r="ED24">
            <v>18</v>
          </cell>
          <cell r="EE24">
            <v>1500</v>
          </cell>
          <cell r="EF24"/>
          <cell r="EG24">
            <v>1500</v>
          </cell>
          <cell r="EH24"/>
          <cell r="EI24">
            <v>500</v>
          </cell>
          <cell r="EJ24"/>
          <cell r="EK24"/>
          <cell r="EL24"/>
          <cell r="EM24"/>
          <cell r="EN24"/>
          <cell r="EP24">
            <v>19</v>
          </cell>
          <cell r="EQ24"/>
          <cell r="ER24"/>
          <cell r="ES24"/>
          <cell r="ET24"/>
          <cell r="EU24"/>
          <cell r="EV24"/>
          <cell r="EW24"/>
          <cell r="EX24"/>
          <cell r="EY24"/>
          <cell r="EZ24"/>
          <cell r="FA24"/>
          <cell r="FB24"/>
          <cell r="FC24"/>
          <cell r="FD24"/>
          <cell r="FE24"/>
          <cell r="FF24"/>
          <cell r="FG24"/>
          <cell r="FH24"/>
          <cell r="FI24"/>
          <cell r="FJ24">
            <v>0</v>
          </cell>
          <cell r="FK24">
            <v>0</v>
          </cell>
          <cell r="FL24"/>
          <cell r="FM24"/>
          <cell r="FN24"/>
          <cell r="FO24"/>
          <cell r="FP24"/>
          <cell r="FQ24"/>
          <cell r="FR24">
            <v>0</v>
          </cell>
          <cell r="FS24">
            <v>0</v>
          </cell>
          <cell r="FU24">
            <v>19</v>
          </cell>
          <cell r="FV24">
            <v>0</v>
          </cell>
          <cell r="FW24">
            <v>1</v>
          </cell>
          <cell r="FX24">
            <v>0</v>
          </cell>
          <cell r="FY24">
            <v>1</v>
          </cell>
          <cell r="FZ24">
            <v>0</v>
          </cell>
          <cell r="GA24">
            <v>1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K24">
            <v>19</v>
          </cell>
          <cell r="GL24">
            <v>3.0000000000000001E-3</v>
          </cell>
          <cell r="GM24">
            <v>0.04</v>
          </cell>
          <cell r="GN24"/>
        </row>
        <row r="25">
          <cell r="AD25">
            <v>19</v>
          </cell>
          <cell r="AE25">
            <v>0.8</v>
          </cell>
          <cell r="AF25">
            <v>0.8</v>
          </cell>
          <cell r="DZ25">
            <v>20</v>
          </cell>
          <cell r="EA25">
            <v>0</v>
          </cell>
          <cell r="EB25">
            <v>0.3</v>
          </cell>
          <cell r="ED25">
            <v>19</v>
          </cell>
          <cell r="EE25">
            <v>1500</v>
          </cell>
          <cell r="EF25"/>
          <cell r="EG25">
            <v>1500</v>
          </cell>
          <cell r="EH25"/>
          <cell r="EI25">
            <v>500</v>
          </cell>
          <cell r="EJ25"/>
          <cell r="EK25"/>
          <cell r="EL25"/>
          <cell r="EM25"/>
          <cell r="EN25"/>
          <cell r="EP25">
            <v>20</v>
          </cell>
          <cell r="EQ25"/>
          <cell r="ER25"/>
          <cell r="ES25"/>
          <cell r="ET25"/>
          <cell r="EU25"/>
          <cell r="EV25"/>
          <cell r="EW25"/>
          <cell r="EX25"/>
          <cell r="EY25"/>
          <cell r="EZ25"/>
          <cell r="FA25"/>
          <cell r="FB25"/>
          <cell r="FC25"/>
          <cell r="FD25"/>
          <cell r="FE25"/>
          <cell r="FF25"/>
          <cell r="FG25"/>
          <cell r="FH25"/>
          <cell r="FI25"/>
          <cell r="FJ25">
            <v>0</v>
          </cell>
          <cell r="FK25">
            <v>0</v>
          </cell>
          <cell r="FL25"/>
          <cell r="FM25"/>
          <cell r="FN25"/>
          <cell r="FO25"/>
          <cell r="FP25"/>
          <cell r="FQ25"/>
          <cell r="FR25">
            <v>0</v>
          </cell>
          <cell r="FS25">
            <v>0</v>
          </cell>
          <cell r="FU25">
            <v>20</v>
          </cell>
          <cell r="FV25">
            <v>0</v>
          </cell>
          <cell r="FW25">
            <v>1</v>
          </cell>
          <cell r="FX25">
            <v>0</v>
          </cell>
          <cell r="FY25">
            <v>1</v>
          </cell>
          <cell r="FZ25">
            <v>0</v>
          </cell>
          <cell r="GA25">
            <v>1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K25">
            <v>20</v>
          </cell>
          <cell r="GL25">
            <v>3.0000000000000001E-3</v>
          </cell>
          <cell r="GM25">
            <v>0.04</v>
          </cell>
          <cell r="GN25"/>
        </row>
        <row r="26">
          <cell r="AD26">
            <v>20</v>
          </cell>
          <cell r="AE26">
            <v>0.8</v>
          </cell>
          <cell r="AF26">
            <v>0.8</v>
          </cell>
          <cell r="DZ26">
            <v>21</v>
          </cell>
          <cell r="EA26">
            <v>0</v>
          </cell>
          <cell r="EB26">
            <v>0.3</v>
          </cell>
          <cell r="ED26">
            <v>20</v>
          </cell>
          <cell r="EE26">
            <v>1500</v>
          </cell>
          <cell r="EF26"/>
          <cell r="EG26">
            <v>1500</v>
          </cell>
          <cell r="EH26"/>
          <cell r="EI26">
            <v>500</v>
          </cell>
          <cell r="EJ26"/>
          <cell r="EK26"/>
          <cell r="EL26"/>
          <cell r="EM26"/>
          <cell r="EN26"/>
          <cell r="EP26">
            <v>21</v>
          </cell>
          <cell r="EQ26"/>
          <cell r="ER26"/>
          <cell r="ES26"/>
          <cell r="ET26"/>
          <cell r="EU26"/>
          <cell r="EV26"/>
          <cell r="EW26"/>
          <cell r="EX26"/>
          <cell r="EY26"/>
          <cell r="EZ26"/>
          <cell r="FA26"/>
          <cell r="FB26"/>
          <cell r="FC26"/>
          <cell r="FD26"/>
          <cell r="FE26"/>
          <cell r="FF26"/>
          <cell r="FG26"/>
          <cell r="FH26"/>
          <cell r="FI26"/>
          <cell r="FJ26">
            <v>0</v>
          </cell>
          <cell r="FK26">
            <v>0</v>
          </cell>
          <cell r="FL26"/>
          <cell r="FM26"/>
          <cell r="FN26"/>
          <cell r="FO26"/>
          <cell r="FP26"/>
          <cell r="FQ26"/>
          <cell r="FR26">
            <v>0</v>
          </cell>
          <cell r="FS26">
            <v>0</v>
          </cell>
          <cell r="FU26">
            <v>21</v>
          </cell>
          <cell r="FV26">
            <v>0</v>
          </cell>
          <cell r="FW26">
            <v>1</v>
          </cell>
          <cell r="FX26">
            <v>0</v>
          </cell>
          <cell r="FY26">
            <v>1</v>
          </cell>
          <cell r="FZ26">
            <v>0</v>
          </cell>
          <cell r="GA26">
            <v>1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K26">
            <v>21</v>
          </cell>
          <cell r="GL26">
            <v>3.0000000000000001E-3</v>
          </cell>
          <cell r="GM26">
            <v>0.04</v>
          </cell>
          <cell r="GN26"/>
        </row>
        <row r="27">
          <cell r="AD27">
            <v>21</v>
          </cell>
          <cell r="AE27">
            <v>0.8</v>
          </cell>
          <cell r="AF27">
            <v>0.8</v>
          </cell>
          <cell r="DZ27">
            <v>22</v>
          </cell>
          <cell r="EA27">
            <v>0</v>
          </cell>
          <cell r="EB27">
            <v>0.3</v>
          </cell>
          <cell r="ED27">
            <v>21</v>
          </cell>
          <cell r="EE27">
            <v>1500</v>
          </cell>
          <cell r="EF27"/>
          <cell r="EG27">
            <v>1500</v>
          </cell>
          <cell r="EH27"/>
          <cell r="EI27">
            <v>500</v>
          </cell>
          <cell r="EJ27"/>
          <cell r="EK27"/>
          <cell r="EL27"/>
          <cell r="EM27"/>
          <cell r="EN27"/>
          <cell r="EP27">
            <v>22</v>
          </cell>
          <cell r="EQ27"/>
          <cell r="ER27"/>
          <cell r="ES27"/>
          <cell r="ET27"/>
          <cell r="EU27"/>
          <cell r="EV27"/>
          <cell r="EW27"/>
          <cell r="EX27"/>
          <cell r="EY27"/>
          <cell r="EZ27"/>
          <cell r="FA27"/>
          <cell r="FB27"/>
          <cell r="FC27"/>
          <cell r="FD27"/>
          <cell r="FE27"/>
          <cell r="FF27"/>
          <cell r="FG27"/>
          <cell r="FH27"/>
          <cell r="FI27"/>
          <cell r="FJ27">
            <v>0</v>
          </cell>
          <cell r="FK27">
            <v>0</v>
          </cell>
          <cell r="FL27"/>
          <cell r="FM27"/>
          <cell r="FN27"/>
          <cell r="FO27"/>
          <cell r="FP27"/>
          <cell r="FQ27"/>
          <cell r="FR27">
            <v>0</v>
          </cell>
          <cell r="FS27">
            <v>0</v>
          </cell>
          <cell r="FU27">
            <v>22</v>
          </cell>
          <cell r="FV27">
            <v>0</v>
          </cell>
          <cell r="FW27">
            <v>1</v>
          </cell>
          <cell r="FX27">
            <v>0</v>
          </cell>
          <cell r="FY27">
            <v>1</v>
          </cell>
          <cell r="FZ27">
            <v>0</v>
          </cell>
          <cell r="GA27">
            <v>1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K27">
            <v>22</v>
          </cell>
          <cell r="GL27">
            <v>3.0000000000000001E-3</v>
          </cell>
          <cell r="GM27">
            <v>0.04</v>
          </cell>
          <cell r="GN27"/>
        </row>
        <row r="28">
          <cell r="AD28">
            <v>22</v>
          </cell>
          <cell r="AE28">
            <v>0.8</v>
          </cell>
          <cell r="AF28">
            <v>0.8</v>
          </cell>
          <cell r="DZ28">
            <v>23</v>
          </cell>
          <cell r="EA28">
            <v>0</v>
          </cell>
          <cell r="EB28">
            <v>0</v>
          </cell>
          <cell r="ED28">
            <v>22</v>
          </cell>
          <cell r="EE28">
            <v>1500</v>
          </cell>
          <cell r="EF28"/>
          <cell r="EG28">
            <v>1500</v>
          </cell>
          <cell r="EH28"/>
          <cell r="EI28">
            <v>500</v>
          </cell>
          <cell r="EJ28"/>
          <cell r="EK28"/>
          <cell r="EL28"/>
          <cell r="EM28"/>
          <cell r="EN28"/>
          <cell r="EP28">
            <v>23</v>
          </cell>
          <cell r="EQ28"/>
          <cell r="ER28"/>
          <cell r="ES28"/>
          <cell r="ET28"/>
          <cell r="EU28"/>
          <cell r="EV28"/>
          <cell r="EW28"/>
          <cell r="EX28"/>
          <cell r="EY28"/>
          <cell r="EZ28"/>
          <cell r="FA28"/>
          <cell r="FB28"/>
          <cell r="FC28"/>
          <cell r="FD28"/>
          <cell r="FE28"/>
          <cell r="FF28"/>
          <cell r="FG28"/>
          <cell r="FH28"/>
          <cell r="FI28"/>
          <cell r="FJ28">
            <v>0</v>
          </cell>
          <cell r="FK28">
            <v>0</v>
          </cell>
          <cell r="FL28"/>
          <cell r="FM28"/>
          <cell r="FN28"/>
          <cell r="FO28"/>
          <cell r="FP28"/>
          <cell r="FQ28"/>
          <cell r="FR28">
            <v>0</v>
          </cell>
          <cell r="FS28">
            <v>0</v>
          </cell>
          <cell r="FU28">
            <v>23</v>
          </cell>
          <cell r="FV28">
            <v>0</v>
          </cell>
          <cell r="FW28">
            <v>1</v>
          </cell>
          <cell r="FX28">
            <v>0</v>
          </cell>
          <cell r="FY28">
            <v>1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K28">
            <v>23</v>
          </cell>
          <cell r="GL28">
            <v>3.0000000000000001E-3</v>
          </cell>
          <cell r="GM28">
            <v>0.04</v>
          </cell>
          <cell r="GN28"/>
        </row>
        <row r="29">
          <cell r="AD29">
            <v>23</v>
          </cell>
          <cell r="AE29">
            <v>0.8</v>
          </cell>
          <cell r="AF29">
            <v>0.8</v>
          </cell>
          <cell r="DZ29">
            <v>24</v>
          </cell>
          <cell r="EA29">
            <v>0</v>
          </cell>
          <cell r="EB29">
            <v>0</v>
          </cell>
          <cell r="ED29">
            <v>23</v>
          </cell>
          <cell r="EE29">
            <v>0</v>
          </cell>
          <cell r="EF29"/>
          <cell r="EG29">
            <v>0</v>
          </cell>
          <cell r="EH29"/>
          <cell r="EI29">
            <v>0</v>
          </cell>
          <cell r="EJ29"/>
          <cell r="EK29"/>
          <cell r="EL29"/>
          <cell r="EM29"/>
          <cell r="EN29"/>
          <cell r="EP29">
            <v>24</v>
          </cell>
          <cell r="EQ29"/>
          <cell r="ER29"/>
          <cell r="ES29"/>
          <cell r="ET29"/>
          <cell r="EU29"/>
          <cell r="EV29"/>
          <cell r="EW29"/>
          <cell r="EX29"/>
          <cell r="EY29"/>
          <cell r="EZ29"/>
          <cell r="FA29"/>
          <cell r="FB29"/>
          <cell r="FC29"/>
          <cell r="FD29"/>
          <cell r="FE29"/>
          <cell r="FF29"/>
          <cell r="FG29"/>
          <cell r="FH29"/>
          <cell r="FI29"/>
          <cell r="FJ29">
            <v>0</v>
          </cell>
          <cell r="FK29">
            <v>0</v>
          </cell>
          <cell r="FL29"/>
          <cell r="FM29"/>
          <cell r="FN29"/>
          <cell r="FO29"/>
          <cell r="FP29"/>
          <cell r="FQ29"/>
          <cell r="FR29">
            <v>0</v>
          </cell>
          <cell r="FS29">
            <v>0</v>
          </cell>
          <cell r="FU29">
            <v>24</v>
          </cell>
          <cell r="FV29">
            <v>0</v>
          </cell>
          <cell r="FW29">
            <v>1</v>
          </cell>
          <cell r="FX29">
            <v>0</v>
          </cell>
          <cell r="FY29">
            <v>1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K29">
            <v>24</v>
          </cell>
          <cell r="GL29">
            <v>3.0000000000000001E-3</v>
          </cell>
          <cell r="GM29">
            <v>0.04</v>
          </cell>
          <cell r="GN29"/>
        </row>
        <row r="30">
          <cell r="AD30">
            <v>24</v>
          </cell>
          <cell r="AE30">
            <v>0.8</v>
          </cell>
          <cell r="AF30">
            <v>0.8</v>
          </cell>
          <cell r="DZ30">
            <v>25</v>
          </cell>
          <cell r="EA30">
            <v>0</v>
          </cell>
          <cell r="EB30">
            <v>0</v>
          </cell>
          <cell r="ED30">
            <v>24</v>
          </cell>
          <cell r="EE30">
            <v>0</v>
          </cell>
          <cell r="EF30"/>
          <cell r="EG30">
            <v>0</v>
          </cell>
          <cell r="EH30"/>
          <cell r="EI30">
            <v>0</v>
          </cell>
          <cell r="EJ30"/>
          <cell r="EK30"/>
          <cell r="EL30"/>
          <cell r="EM30"/>
          <cell r="EN30"/>
          <cell r="EP30">
            <v>25</v>
          </cell>
          <cell r="EQ30"/>
          <cell r="ER30"/>
          <cell r="ES30"/>
          <cell r="ET30"/>
          <cell r="EU30"/>
          <cell r="EV30"/>
          <cell r="EW30"/>
          <cell r="EX30"/>
          <cell r="EY30"/>
          <cell r="EZ30"/>
          <cell r="FA30"/>
          <cell r="FB30"/>
          <cell r="FC30"/>
          <cell r="FD30"/>
          <cell r="FE30"/>
          <cell r="FF30"/>
          <cell r="FG30"/>
          <cell r="FH30"/>
          <cell r="FI30"/>
          <cell r="FJ30">
            <v>0</v>
          </cell>
          <cell r="FK30">
            <v>0</v>
          </cell>
          <cell r="FL30"/>
          <cell r="FM30"/>
          <cell r="FN30"/>
          <cell r="FO30"/>
          <cell r="FP30"/>
          <cell r="FQ30"/>
          <cell r="FR30">
            <v>0</v>
          </cell>
          <cell r="FS30">
            <v>0</v>
          </cell>
          <cell r="FU30">
            <v>25</v>
          </cell>
          <cell r="FV30">
            <v>0</v>
          </cell>
          <cell r="FW30">
            <v>1</v>
          </cell>
          <cell r="FX30">
            <v>1</v>
          </cell>
          <cell r="FY30">
            <v>1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1</v>
          </cell>
          <cell r="GK30">
            <v>25</v>
          </cell>
          <cell r="GL30">
            <v>3.0000000000000001E-3</v>
          </cell>
          <cell r="GM30">
            <v>0.04</v>
          </cell>
          <cell r="GN30"/>
        </row>
        <row r="31">
          <cell r="AD31">
            <v>25</v>
          </cell>
          <cell r="AE31">
            <v>0.8</v>
          </cell>
          <cell r="AF31">
            <v>0.8</v>
          </cell>
          <cell r="DZ31">
            <v>26</v>
          </cell>
          <cell r="EA31">
            <v>0</v>
          </cell>
          <cell r="EB31">
            <v>0</v>
          </cell>
          <cell r="ED31">
            <v>25</v>
          </cell>
          <cell r="EE31">
            <v>0</v>
          </cell>
          <cell r="EF31"/>
          <cell r="EG31">
            <v>0</v>
          </cell>
          <cell r="EH31"/>
          <cell r="EI31">
            <v>0</v>
          </cell>
          <cell r="EJ31"/>
          <cell r="EK31"/>
          <cell r="EL31"/>
          <cell r="EM31"/>
          <cell r="EN31"/>
          <cell r="EP31">
            <v>26</v>
          </cell>
          <cell r="EQ31"/>
          <cell r="ER31"/>
          <cell r="ES31"/>
          <cell r="ET31"/>
          <cell r="EU31"/>
          <cell r="EV31"/>
          <cell r="EW31"/>
          <cell r="EX31"/>
          <cell r="EY31"/>
          <cell r="EZ31"/>
          <cell r="FA31"/>
          <cell r="FB31"/>
          <cell r="FC31"/>
          <cell r="FD31"/>
          <cell r="FE31"/>
          <cell r="FF31"/>
          <cell r="FG31"/>
          <cell r="FH31"/>
          <cell r="FI31"/>
          <cell r="FJ31">
            <v>0</v>
          </cell>
          <cell r="FK31">
            <v>0</v>
          </cell>
          <cell r="FL31"/>
          <cell r="FM31"/>
          <cell r="FN31"/>
          <cell r="FO31"/>
          <cell r="FP31"/>
          <cell r="FQ31"/>
          <cell r="FR31">
            <v>0</v>
          </cell>
          <cell r="FS31">
            <v>0</v>
          </cell>
          <cell r="FU31">
            <v>26</v>
          </cell>
          <cell r="FV31">
            <v>0</v>
          </cell>
          <cell r="FW31">
            <v>1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K31">
            <v>26</v>
          </cell>
          <cell r="GL31">
            <v>3.0000000000000001E-3</v>
          </cell>
          <cell r="GM31">
            <v>0.04</v>
          </cell>
          <cell r="GN31"/>
        </row>
        <row r="32">
          <cell r="AD32">
            <v>26</v>
          </cell>
          <cell r="AE32">
            <v>0.8</v>
          </cell>
          <cell r="AF32">
            <v>0.8</v>
          </cell>
          <cell r="DZ32">
            <v>27</v>
          </cell>
          <cell r="EA32">
            <v>0</v>
          </cell>
          <cell r="EB32">
            <v>0</v>
          </cell>
          <cell r="ED32">
            <v>26</v>
          </cell>
          <cell r="EE32">
            <v>0</v>
          </cell>
          <cell r="EF32"/>
          <cell r="EG32">
            <v>0</v>
          </cell>
          <cell r="EH32"/>
          <cell r="EI32">
            <v>0</v>
          </cell>
          <cell r="EJ32"/>
          <cell r="EK32"/>
          <cell r="EL32"/>
          <cell r="EM32"/>
          <cell r="EN32"/>
          <cell r="EP32">
            <v>27</v>
          </cell>
          <cell r="EQ32"/>
          <cell r="ER32"/>
          <cell r="ES32"/>
          <cell r="ET32"/>
          <cell r="EU32"/>
          <cell r="EV32"/>
          <cell r="EW32"/>
          <cell r="EX32"/>
          <cell r="EY32"/>
          <cell r="EZ32"/>
          <cell r="FA32"/>
          <cell r="FB32"/>
          <cell r="FC32"/>
          <cell r="FD32"/>
          <cell r="FE32"/>
          <cell r="FF32"/>
          <cell r="FG32"/>
          <cell r="FH32"/>
          <cell r="FI32"/>
          <cell r="FJ32">
            <v>0</v>
          </cell>
          <cell r="FK32">
            <v>0</v>
          </cell>
          <cell r="FL32"/>
          <cell r="FM32"/>
          <cell r="FN32"/>
          <cell r="FO32"/>
          <cell r="FP32"/>
          <cell r="FQ32"/>
          <cell r="FR32">
            <v>0</v>
          </cell>
          <cell r="FS32">
            <v>0</v>
          </cell>
          <cell r="FU32">
            <v>27</v>
          </cell>
          <cell r="FV32">
            <v>0</v>
          </cell>
          <cell r="FW32">
            <v>1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K32">
            <v>27</v>
          </cell>
          <cell r="GL32">
            <v>3.0000000000000001E-3</v>
          </cell>
          <cell r="GM32">
            <v>0.04</v>
          </cell>
          <cell r="GN32"/>
        </row>
        <row r="33">
          <cell r="AD33">
            <v>27</v>
          </cell>
          <cell r="AE33">
            <v>0.8</v>
          </cell>
          <cell r="AF33">
            <v>0.8</v>
          </cell>
          <cell r="DZ33">
            <v>28</v>
          </cell>
          <cell r="EA33">
            <v>0</v>
          </cell>
          <cell r="EB33">
            <v>0</v>
          </cell>
          <cell r="ED33">
            <v>27</v>
          </cell>
          <cell r="EE33">
            <v>0</v>
          </cell>
          <cell r="EF33"/>
          <cell r="EG33">
            <v>0</v>
          </cell>
          <cell r="EH33"/>
          <cell r="EI33">
            <v>0</v>
          </cell>
          <cell r="EJ33"/>
          <cell r="EK33"/>
          <cell r="EL33"/>
          <cell r="EM33"/>
          <cell r="EN33"/>
          <cell r="EP33">
            <v>28</v>
          </cell>
          <cell r="EQ33"/>
          <cell r="ER33"/>
          <cell r="ES33"/>
          <cell r="ET33"/>
          <cell r="EU33"/>
          <cell r="EV33"/>
          <cell r="EW33"/>
          <cell r="EX33"/>
          <cell r="EY33"/>
          <cell r="EZ33"/>
          <cell r="FA33"/>
          <cell r="FB33"/>
          <cell r="FC33"/>
          <cell r="FD33"/>
          <cell r="FE33"/>
          <cell r="FF33"/>
          <cell r="FG33"/>
          <cell r="FH33"/>
          <cell r="FI33"/>
          <cell r="FJ33">
            <v>0</v>
          </cell>
          <cell r="FK33">
            <v>0</v>
          </cell>
          <cell r="FL33"/>
          <cell r="FM33"/>
          <cell r="FN33"/>
          <cell r="FO33"/>
          <cell r="FP33"/>
          <cell r="FQ33"/>
          <cell r="FR33">
            <v>0</v>
          </cell>
          <cell r="FS33">
            <v>0</v>
          </cell>
          <cell r="FU33">
            <v>28</v>
          </cell>
          <cell r="FV33">
            <v>0</v>
          </cell>
          <cell r="FW33">
            <v>1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K33">
            <v>28</v>
          </cell>
          <cell r="GL33">
            <v>3.0000000000000001E-3</v>
          </cell>
          <cell r="GM33">
            <v>0.04</v>
          </cell>
          <cell r="GN33"/>
        </row>
        <row r="34">
          <cell r="AD34">
            <v>28</v>
          </cell>
          <cell r="AE34">
            <v>0.8</v>
          </cell>
          <cell r="AF34">
            <v>0.8</v>
          </cell>
          <cell r="DZ34">
            <v>29</v>
          </cell>
          <cell r="EA34">
            <v>0</v>
          </cell>
          <cell r="EB34">
            <v>0</v>
          </cell>
          <cell r="ED34">
            <v>28</v>
          </cell>
          <cell r="EE34">
            <v>0</v>
          </cell>
          <cell r="EF34"/>
          <cell r="EG34">
            <v>0</v>
          </cell>
          <cell r="EH34"/>
          <cell r="EI34">
            <v>0</v>
          </cell>
          <cell r="EJ34"/>
          <cell r="EK34"/>
          <cell r="EL34"/>
          <cell r="EM34"/>
          <cell r="EN34"/>
          <cell r="EP34">
            <v>29</v>
          </cell>
          <cell r="EQ34"/>
          <cell r="ER34"/>
          <cell r="ES34"/>
          <cell r="ET34"/>
          <cell r="EU34"/>
          <cell r="EV34"/>
          <cell r="EW34"/>
          <cell r="EX34"/>
          <cell r="EY34"/>
          <cell r="EZ34"/>
          <cell r="FA34"/>
          <cell r="FB34"/>
          <cell r="FC34"/>
          <cell r="FD34"/>
          <cell r="FE34"/>
          <cell r="FF34"/>
          <cell r="FG34"/>
          <cell r="FH34"/>
          <cell r="FI34"/>
          <cell r="FJ34">
            <v>0</v>
          </cell>
          <cell r="FK34">
            <v>0</v>
          </cell>
          <cell r="FL34"/>
          <cell r="FM34"/>
          <cell r="FN34"/>
          <cell r="FO34"/>
          <cell r="FP34"/>
          <cell r="FQ34"/>
          <cell r="FR34">
            <v>0</v>
          </cell>
          <cell r="FS34">
            <v>0</v>
          </cell>
          <cell r="FU34">
            <v>29</v>
          </cell>
          <cell r="FV34">
            <v>0</v>
          </cell>
          <cell r="FW34">
            <v>1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K34">
            <v>29</v>
          </cell>
          <cell r="GL34">
            <v>3.0000000000000001E-3</v>
          </cell>
          <cell r="GM34">
            <v>0.04</v>
          </cell>
          <cell r="GN34"/>
        </row>
        <row r="35">
          <cell r="AD35">
            <v>29</v>
          </cell>
          <cell r="AE35">
            <v>0.8</v>
          </cell>
          <cell r="AF35">
            <v>0.8</v>
          </cell>
          <cell r="DZ35">
            <v>30</v>
          </cell>
          <cell r="EA35">
            <v>0</v>
          </cell>
          <cell r="EB35">
            <v>0</v>
          </cell>
          <cell r="ED35">
            <v>29</v>
          </cell>
          <cell r="EE35">
            <v>0</v>
          </cell>
          <cell r="EF35"/>
          <cell r="EG35">
            <v>0</v>
          </cell>
          <cell r="EH35"/>
          <cell r="EI35">
            <v>0</v>
          </cell>
          <cell r="EJ35"/>
          <cell r="EK35"/>
          <cell r="EL35"/>
          <cell r="EM35"/>
          <cell r="EN35"/>
          <cell r="EP35">
            <v>30</v>
          </cell>
          <cell r="EQ35"/>
          <cell r="ER35"/>
          <cell r="ES35"/>
          <cell r="ET35"/>
          <cell r="EU35"/>
          <cell r="EV35"/>
          <cell r="EW35"/>
          <cell r="EX35"/>
          <cell r="EY35"/>
          <cell r="EZ35"/>
          <cell r="FA35"/>
          <cell r="FB35"/>
          <cell r="FC35"/>
          <cell r="FD35"/>
          <cell r="FE35"/>
          <cell r="FF35"/>
          <cell r="FG35"/>
          <cell r="FH35"/>
          <cell r="FI35"/>
          <cell r="FJ35">
            <v>0</v>
          </cell>
          <cell r="FK35">
            <v>0</v>
          </cell>
          <cell r="FL35"/>
          <cell r="FM35"/>
          <cell r="FN35"/>
          <cell r="FO35"/>
          <cell r="FP35"/>
          <cell r="FQ35"/>
          <cell r="FR35">
            <v>0</v>
          </cell>
          <cell r="FS35">
            <v>0</v>
          </cell>
          <cell r="FU35">
            <v>30</v>
          </cell>
          <cell r="FV35">
            <v>0</v>
          </cell>
          <cell r="FW35">
            <v>1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K35">
            <v>30</v>
          </cell>
          <cell r="GL35">
            <v>3.0000000000000001E-3</v>
          </cell>
          <cell r="GM35">
            <v>0.04</v>
          </cell>
          <cell r="GN35"/>
        </row>
        <row r="36">
          <cell r="AD36">
            <v>30</v>
          </cell>
          <cell r="AE36">
            <v>0.8</v>
          </cell>
          <cell r="AF36">
            <v>0.8</v>
          </cell>
          <cell r="DZ36">
            <v>31</v>
          </cell>
          <cell r="EA36">
            <v>0</v>
          </cell>
          <cell r="EB36">
            <v>0</v>
          </cell>
          <cell r="ED36">
            <v>30</v>
          </cell>
          <cell r="EE36">
            <v>0</v>
          </cell>
          <cell r="EF36"/>
          <cell r="EG36">
            <v>0</v>
          </cell>
          <cell r="EH36"/>
          <cell r="EI36">
            <v>0</v>
          </cell>
          <cell r="EJ36"/>
          <cell r="EK36"/>
          <cell r="EL36"/>
          <cell r="EM36"/>
          <cell r="EN36"/>
          <cell r="EP36">
            <v>31</v>
          </cell>
          <cell r="EQ36"/>
          <cell r="ER36"/>
          <cell r="ES36"/>
          <cell r="ET36"/>
          <cell r="EU36"/>
          <cell r="EV36"/>
          <cell r="EW36"/>
          <cell r="EX36"/>
          <cell r="EY36"/>
          <cell r="EZ36"/>
          <cell r="FA36"/>
          <cell r="FB36"/>
          <cell r="FC36"/>
          <cell r="FD36"/>
          <cell r="FE36"/>
          <cell r="FF36"/>
          <cell r="FG36"/>
          <cell r="FH36"/>
          <cell r="FI36"/>
          <cell r="FJ36">
            <v>0</v>
          </cell>
          <cell r="FK36">
            <v>0</v>
          </cell>
          <cell r="FL36"/>
          <cell r="FM36"/>
          <cell r="FN36"/>
          <cell r="FO36"/>
          <cell r="FP36"/>
          <cell r="FQ36"/>
          <cell r="FR36">
            <v>0</v>
          </cell>
          <cell r="FS36">
            <v>0</v>
          </cell>
          <cell r="FU36">
            <v>31</v>
          </cell>
          <cell r="FV36">
            <v>0</v>
          </cell>
          <cell r="FW36">
            <v>1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K36">
            <v>31</v>
          </cell>
          <cell r="GL36">
            <v>3.0000000000000001E-3</v>
          </cell>
          <cell r="GM36">
            <v>0.04</v>
          </cell>
          <cell r="GN36"/>
        </row>
        <row r="37">
          <cell r="AD37">
            <v>31</v>
          </cell>
          <cell r="AE37">
            <v>0.8</v>
          </cell>
          <cell r="AF37">
            <v>0.8</v>
          </cell>
          <cell r="DZ37">
            <v>32</v>
          </cell>
          <cell r="EA37">
            <v>0</v>
          </cell>
          <cell r="EB37">
            <v>0</v>
          </cell>
          <cell r="ED37">
            <v>31</v>
          </cell>
          <cell r="EE37">
            <v>0</v>
          </cell>
          <cell r="EF37"/>
          <cell r="EG37">
            <v>0</v>
          </cell>
          <cell r="EH37"/>
          <cell r="EI37">
            <v>0</v>
          </cell>
          <cell r="EJ37"/>
          <cell r="EK37"/>
          <cell r="EL37"/>
          <cell r="EM37"/>
          <cell r="EN37"/>
          <cell r="EP37">
            <v>32</v>
          </cell>
          <cell r="EQ37"/>
          <cell r="ER37"/>
          <cell r="ES37"/>
          <cell r="ET37"/>
          <cell r="EU37"/>
          <cell r="EV37"/>
          <cell r="EW37"/>
          <cell r="EX37"/>
          <cell r="EY37"/>
          <cell r="EZ37"/>
          <cell r="FA37"/>
          <cell r="FB37"/>
          <cell r="FC37"/>
          <cell r="FD37"/>
          <cell r="FE37"/>
          <cell r="FF37"/>
          <cell r="FG37"/>
          <cell r="FH37"/>
          <cell r="FI37"/>
          <cell r="FJ37">
            <v>0</v>
          </cell>
          <cell r="FK37">
            <v>0</v>
          </cell>
          <cell r="FL37"/>
          <cell r="FM37"/>
          <cell r="FN37"/>
          <cell r="FO37"/>
          <cell r="FP37"/>
          <cell r="FQ37"/>
          <cell r="FR37">
            <v>0</v>
          </cell>
          <cell r="FS37">
            <v>0</v>
          </cell>
          <cell r="FU37">
            <v>32</v>
          </cell>
          <cell r="FV37">
            <v>0</v>
          </cell>
          <cell r="FW37">
            <v>1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K37">
            <v>32</v>
          </cell>
          <cell r="GL37">
            <v>3.0000000000000001E-3</v>
          </cell>
          <cell r="GM37">
            <v>0.04</v>
          </cell>
          <cell r="GN37"/>
        </row>
        <row r="38">
          <cell r="C38">
            <v>1</v>
          </cell>
          <cell r="D38">
            <v>2</v>
          </cell>
          <cell r="E38">
            <v>3</v>
          </cell>
          <cell r="F38">
            <v>4</v>
          </cell>
          <cell r="G38">
            <v>5</v>
          </cell>
          <cell r="H38">
            <v>6</v>
          </cell>
          <cell r="I38">
            <v>7</v>
          </cell>
          <cell r="J38">
            <v>8</v>
          </cell>
          <cell r="K38">
            <v>9</v>
          </cell>
          <cell r="L38">
            <v>10</v>
          </cell>
          <cell r="AD38">
            <v>32</v>
          </cell>
          <cell r="AE38">
            <v>0.8</v>
          </cell>
          <cell r="AF38">
            <v>0.8</v>
          </cell>
          <cell r="DZ38">
            <v>33</v>
          </cell>
          <cell r="EA38">
            <v>0</v>
          </cell>
          <cell r="EB38">
            <v>0</v>
          </cell>
          <cell r="ED38">
            <v>32</v>
          </cell>
          <cell r="EE38">
            <v>0</v>
          </cell>
          <cell r="EF38"/>
          <cell r="EG38">
            <v>0</v>
          </cell>
          <cell r="EH38"/>
          <cell r="EI38">
            <v>0</v>
          </cell>
          <cell r="EJ38"/>
          <cell r="EK38"/>
          <cell r="EL38"/>
          <cell r="EM38"/>
          <cell r="EN38"/>
          <cell r="EP38">
            <v>33</v>
          </cell>
          <cell r="EQ38"/>
          <cell r="ER38"/>
          <cell r="ES38"/>
          <cell r="ET38"/>
          <cell r="EU38"/>
          <cell r="EV38"/>
          <cell r="EW38"/>
          <cell r="EX38"/>
          <cell r="EY38"/>
          <cell r="EZ38"/>
          <cell r="FA38"/>
          <cell r="FB38"/>
          <cell r="FC38"/>
          <cell r="FD38"/>
          <cell r="FE38"/>
          <cell r="FF38"/>
          <cell r="FG38"/>
          <cell r="FH38"/>
          <cell r="FI38"/>
          <cell r="FJ38">
            <v>0</v>
          </cell>
          <cell r="FK38">
            <v>0</v>
          </cell>
          <cell r="FL38"/>
          <cell r="FM38"/>
          <cell r="FN38"/>
          <cell r="FO38"/>
          <cell r="FP38"/>
          <cell r="FQ38"/>
          <cell r="FR38">
            <v>0</v>
          </cell>
          <cell r="FS38">
            <v>0</v>
          </cell>
          <cell r="FU38">
            <v>33</v>
          </cell>
          <cell r="FV38">
            <v>0</v>
          </cell>
          <cell r="FW38">
            <v>1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K38">
            <v>33</v>
          </cell>
          <cell r="GL38">
            <v>3.0000000000000001E-3</v>
          </cell>
          <cell r="GM38">
            <v>0.04</v>
          </cell>
          <cell r="GN38"/>
        </row>
        <row r="39">
          <cell r="C39">
            <v>0.75600000000000001</v>
          </cell>
          <cell r="D39">
            <v>0.15000000000000002</v>
          </cell>
          <cell r="E39">
            <v>0.15000000000000002</v>
          </cell>
          <cell r="F39">
            <v>0.05</v>
          </cell>
          <cell r="G39">
            <v>0.05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AD39">
            <v>33</v>
          </cell>
          <cell r="AE39">
            <v>0.8</v>
          </cell>
          <cell r="AF39">
            <v>0.8</v>
          </cell>
          <cell r="DZ39">
            <v>34</v>
          </cell>
          <cell r="EA39">
            <v>0</v>
          </cell>
          <cell r="EB39">
            <v>0</v>
          </cell>
          <cell r="ED39">
            <v>33</v>
          </cell>
          <cell r="EE39">
            <v>0</v>
          </cell>
          <cell r="EF39"/>
          <cell r="EG39">
            <v>0</v>
          </cell>
          <cell r="EH39"/>
          <cell r="EI39">
            <v>0</v>
          </cell>
          <cell r="EJ39"/>
          <cell r="EK39"/>
          <cell r="EL39"/>
          <cell r="EM39"/>
          <cell r="EN39"/>
          <cell r="EP39">
            <v>34</v>
          </cell>
          <cell r="EQ39"/>
          <cell r="ER39"/>
          <cell r="ES39"/>
          <cell r="ET39"/>
          <cell r="EU39"/>
          <cell r="EV39"/>
          <cell r="EW39"/>
          <cell r="EX39"/>
          <cell r="EY39"/>
          <cell r="EZ39"/>
          <cell r="FA39"/>
          <cell r="FB39"/>
          <cell r="FC39"/>
          <cell r="FD39"/>
          <cell r="FE39"/>
          <cell r="FF39"/>
          <cell r="FG39"/>
          <cell r="FH39"/>
          <cell r="FI39"/>
          <cell r="FJ39">
            <v>0</v>
          </cell>
          <cell r="FK39">
            <v>0</v>
          </cell>
          <cell r="FL39"/>
          <cell r="FM39"/>
          <cell r="FN39"/>
          <cell r="FO39"/>
          <cell r="FP39"/>
          <cell r="FQ39"/>
          <cell r="FR39">
            <v>0</v>
          </cell>
          <cell r="FS39">
            <v>0</v>
          </cell>
          <cell r="FU39">
            <v>34</v>
          </cell>
          <cell r="FV39">
            <v>0</v>
          </cell>
          <cell r="FW39">
            <v>1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K39">
            <v>34</v>
          </cell>
          <cell r="GL39">
            <v>3.0000000000000001E-3</v>
          </cell>
          <cell r="GM39">
            <v>0.04</v>
          </cell>
          <cell r="GN39"/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AD40">
            <v>34</v>
          </cell>
          <cell r="AE40">
            <v>0.8</v>
          </cell>
          <cell r="AF40">
            <v>0.8</v>
          </cell>
          <cell r="DZ40">
            <v>35</v>
          </cell>
          <cell r="EA40">
            <v>0</v>
          </cell>
          <cell r="EB40">
            <v>0</v>
          </cell>
          <cell r="ED40">
            <v>34</v>
          </cell>
          <cell r="EE40">
            <v>0</v>
          </cell>
          <cell r="EF40"/>
          <cell r="EG40">
            <v>0</v>
          </cell>
          <cell r="EH40"/>
          <cell r="EI40">
            <v>0</v>
          </cell>
          <cell r="EJ40"/>
          <cell r="EK40"/>
          <cell r="EL40"/>
          <cell r="EM40"/>
          <cell r="EN40"/>
          <cell r="EP40">
            <v>35</v>
          </cell>
          <cell r="EQ40"/>
          <cell r="ER40"/>
          <cell r="ES40"/>
          <cell r="ET40"/>
          <cell r="EU40"/>
          <cell r="EV40"/>
          <cell r="EW40"/>
          <cell r="EX40"/>
          <cell r="EY40"/>
          <cell r="EZ40"/>
          <cell r="FA40"/>
          <cell r="FB40"/>
          <cell r="FC40"/>
          <cell r="FD40"/>
          <cell r="FE40"/>
          <cell r="FF40"/>
          <cell r="FG40"/>
          <cell r="FH40"/>
          <cell r="FI40"/>
          <cell r="FJ40">
            <v>0</v>
          </cell>
          <cell r="FK40">
            <v>0</v>
          </cell>
          <cell r="FL40"/>
          <cell r="FM40"/>
          <cell r="FN40"/>
          <cell r="FO40"/>
          <cell r="FP40"/>
          <cell r="FQ40"/>
          <cell r="FR40">
            <v>0</v>
          </cell>
          <cell r="FS40">
            <v>0</v>
          </cell>
          <cell r="FU40">
            <v>35</v>
          </cell>
          <cell r="FV40">
            <v>0</v>
          </cell>
          <cell r="FW40">
            <v>1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K40">
            <v>35</v>
          </cell>
          <cell r="GL40">
            <v>3.0000000000000001E-3</v>
          </cell>
          <cell r="GM40">
            <v>0.04</v>
          </cell>
          <cell r="GN40"/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AD41">
            <v>35</v>
          </cell>
          <cell r="AE41">
            <v>0.8</v>
          </cell>
          <cell r="AF41">
            <v>0.8</v>
          </cell>
          <cell r="DZ41">
            <v>36</v>
          </cell>
          <cell r="EA41">
            <v>0</v>
          </cell>
          <cell r="EB41">
            <v>0</v>
          </cell>
          <cell r="ED41">
            <v>35</v>
          </cell>
          <cell r="EE41">
            <v>0</v>
          </cell>
          <cell r="EF41"/>
          <cell r="EG41">
            <v>0</v>
          </cell>
          <cell r="EH41"/>
          <cell r="EI41">
            <v>0</v>
          </cell>
          <cell r="EJ41"/>
          <cell r="EK41"/>
          <cell r="EL41"/>
          <cell r="EM41"/>
          <cell r="EN41"/>
          <cell r="EP41">
            <v>36</v>
          </cell>
          <cell r="EQ41"/>
          <cell r="ER41"/>
          <cell r="ES41"/>
          <cell r="ET41"/>
          <cell r="EU41"/>
          <cell r="EV41"/>
          <cell r="EW41"/>
          <cell r="EX41"/>
          <cell r="EY41"/>
          <cell r="EZ41"/>
          <cell r="FA41"/>
          <cell r="FB41"/>
          <cell r="FC41"/>
          <cell r="FD41"/>
          <cell r="FE41"/>
          <cell r="FF41"/>
          <cell r="FG41"/>
          <cell r="FH41"/>
          <cell r="FI41"/>
          <cell r="FJ41">
            <v>0</v>
          </cell>
          <cell r="FK41">
            <v>0</v>
          </cell>
          <cell r="FL41"/>
          <cell r="FM41"/>
          <cell r="FN41"/>
          <cell r="FO41"/>
          <cell r="FP41"/>
          <cell r="FQ41"/>
          <cell r="FR41">
            <v>0</v>
          </cell>
          <cell r="FS41">
            <v>0</v>
          </cell>
          <cell r="FU41">
            <v>36</v>
          </cell>
          <cell r="FV41">
            <v>0</v>
          </cell>
          <cell r="FW41">
            <v>1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K41">
            <v>36</v>
          </cell>
          <cell r="GL41">
            <v>3.0000000000000001E-3</v>
          </cell>
          <cell r="GM41">
            <v>0.04</v>
          </cell>
          <cell r="GN41"/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AD42">
            <v>36</v>
          </cell>
          <cell r="AE42">
            <v>0.8</v>
          </cell>
          <cell r="AF42">
            <v>0.8</v>
          </cell>
          <cell r="DZ42">
            <v>37</v>
          </cell>
          <cell r="EA42">
            <v>0</v>
          </cell>
          <cell r="EB42">
            <v>0</v>
          </cell>
          <cell r="ED42">
            <v>36</v>
          </cell>
          <cell r="EE42">
            <v>0</v>
          </cell>
          <cell r="EF42"/>
          <cell r="EG42">
            <v>0</v>
          </cell>
          <cell r="EH42"/>
          <cell r="EI42">
            <v>0</v>
          </cell>
          <cell r="EJ42"/>
          <cell r="EK42"/>
          <cell r="EL42"/>
          <cell r="EM42"/>
          <cell r="EN42"/>
          <cell r="EP42">
            <v>37</v>
          </cell>
          <cell r="EQ42"/>
          <cell r="ER42"/>
          <cell r="ES42"/>
          <cell r="ET42"/>
          <cell r="EU42"/>
          <cell r="EV42"/>
          <cell r="EW42"/>
          <cell r="EX42"/>
          <cell r="EY42"/>
          <cell r="EZ42"/>
          <cell r="FA42"/>
          <cell r="FB42"/>
          <cell r="FC42"/>
          <cell r="FD42"/>
          <cell r="FE42"/>
          <cell r="FF42"/>
          <cell r="FG42"/>
          <cell r="FH42"/>
          <cell r="FI42"/>
          <cell r="FJ42">
            <v>0</v>
          </cell>
          <cell r="FK42">
            <v>0</v>
          </cell>
          <cell r="FL42"/>
          <cell r="FM42"/>
          <cell r="FN42"/>
          <cell r="FO42"/>
          <cell r="FP42"/>
          <cell r="FQ42"/>
          <cell r="FR42">
            <v>0</v>
          </cell>
          <cell r="FS42">
            <v>0</v>
          </cell>
          <cell r="FU42">
            <v>37</v>
          </cell>
          <cell r="FV42">
            <v>0</v>
          </cell>
          <cell r="FW42">
            <v>1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1</v>
          </cell>
          <cell r="GK42">
            <v>37</v>
          </cell>
          <cell r="GL42">
            <v>3.0000000000000001E-3</v>
          </cell>
          <cell r="GM42">
            <v>0.04</v>
          </cell>
          <cell r="GN42"/>
        </row>
        <row r="43">
          <cell r="AD43">
            <v>37</v>
          </cell>
          <cell r="AE43">
            <v>0.8</v>
          </cell>
          <cell r="AF43">
            <v>0.8</v>
          </cell>
          <cell r="DZ43">
            <v>38</v>
          </cell>
          <cell r="EA43">
            <v>0</v>
          </cell>
          <cell r="EB43">
            <v>0</v>
          </cell>
          <cell r="ED43">
            <v>37</v>
          </cell>
          <cell r="EE43">
            <v>0</v>
          </cell>
          <cell r="EF43"/>
          <cell r="EG43">
            <v>0</v>
          </cell>
          <cell r="EH43"/>
          <cell r="EI43">
            <v>0</v>
          </cell>
          <cell r="EJ43"/>
          <cell r="EK43"/>
          <cell r="EL43"/>
          <cell r="EM43"/>
          <cell r="EN43"/>
          <cell r="EP43">
            <v>38</v>
          </cell>
          <cell r="EQ43"/>
          <cell r="ER43"/>
          <cell r="ES43"/>
          <cell r="ET43"/>
          <cell r="EU43"/>
          <cell r="EV43"/>
          <cell r="EW43"/>
          <cell r="EX43"/>
          <cell r="EY43"/>
          <cell r="EZ43"/>
          <cell r="FA43"/>
          <cell r="FB43"/>
          <cell r="FC43"/>
          <cell r="FD43"/>
          <cell r="FE43"/>
          <cell r="FF43"/>
          <cell r="FG43"/>
          <cell r="FH43"/>
          <cell r="FI43"/>
          <cell r="FJ43">
            <v>0</v>
          </cell>
          <cell r="FK43">
            <v>0</v>
          </cell>
          <cell r="FL43"/>
          <cell r="FM43"/>
          <cell r="FN43"/>
          <cell r="FO43"/>
          <cell r="FP43"/>
          <cell r="FQ43"/>
          <cell r="FR43">
            <v>0</v>
          </cell>
          <cell r="FS43">
            <v>0</v>
          </cell>
          <cell r="FU43">
            <v>38</v>
          </cell>
          <cell r="FV43">
            <v>0</v>
          </cell>
          <cell r="FW43">
            <v>1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K43">
            <v>38</v>
          </cell>
          <cell r="GL43">
            <v>3.0000000000000001E-3</v>
          </cell>
          <cell r="GM43">
            <v>0.04</v>
          </cell>
          <cell r="GN43"/>
        </row>
        <row r="44">
          <cell r="AD44">
            <v>38</v>
          </cell>
          <cell r="AE44">
            <v>0.8</v>
          </cell>
          <cell r="AF44">
            <v>0.8</v>
          </cell>
          <cell r="DZ44">
            <v>39</v>
          </cell>
          <cell r="EA44">
            <v>0</v>
          </cell>
          <cell r="EB44">
            <v>0</v>
          </cell>
          <cell r="ED44">
            <v>38</v>
          </cell>
          <cell r="EE44">
            <v>0</v>
          </cell>
          <cell r="EF44"/>
          <cell r="EG44">
            <v>0</v>
          </cell>
          <cell r="EH44"/>
          <cell r="EI44">
            <v>0</v>
          </cell>
          <cell r="EJ44"/>
          <cell r="EK44"/>
          <cell r="EL44"/>
          <cell r="EM44"/>
          <cell r="EN44"/>
          <cell r="EP44">
            <v>39</v>
          </cell>
          <cell r="EQ44"/>
          <cell r="ER44"/>
          <cell r="ES44"/>
          <cell r="ET44"/>
          <cell r="EU44"/>
          <cell r="EV44"/>
          <cell r="EW44"/>
          <cell r="EX44"/>
          <cell r="EY44"/>
          <cell r="EZ44"/>
          <cell r="FA44"/>
          <cell r="FB44"/>
          <cell r="FC44"/>
          <cell r="FD44"/>
          <cell r="FE44"/>
          <cell r="FF44"/>
          <cell r="FG44"/>
          <cell r="FH44"/>
          <cell r="FI44"/>
          <cell r="FJ44">
            <v>0</v>
          </cell>
          <cell r="FK44">
            <v>0</v>
          </cell>
          <cell r="FL44"/>
          <cell r="FM44"/>
          <cell r="FN44"/>
          <cell r="FO44"/>
          <cell r="FP44"/>
          <cell r="FQ44"/>
          <cell r="FR44">
            <v>0</v>
          </cell>
          <cell r="FS44">
            <v>0</v>
          </cell>
          <cell r="FU44">
            <v>39</v>
          </cell>
          <cell r="FV44">
            <v>0</v>
          </cell>
          <cell r="FW44">
            <v>1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K44">
            <v>39</v>
          </cell>
          <cell r="GL44">
            <v>3.0000000000000001E-3</v>
          </cell>
          <cell r="GM44">
            <v>0.04</v>
          </cell>
          <cell r="GN44"/>
        </row>
        <row r="45">
          <cell r="AD45">
            <v>39</v>
          </cell>
          <cell r="AE45">
            <v>0.8</v>
          </cell>
          <cell r="AF45">
            <v>0.8</v>
          </cell>
          <cell r="DZ45">
            <v>40</v>
          </cell>
          <cell r="EA45">
            <v>0</v>
          </cell>
          <cell r="EB45">
            <v>0</v>
          </cell>
          <cell r="ED45">
            <v>39</v>
          </cell>
          <cell r="EE45">
            <v>0</v>
          </cell>
          <cell r="EF45"/>
          <cell r="EG45">
            <v>0</v>
          </cell>
          <cell r="EH45"/>
          <cell r="EI45">
            <v>0</v>
          </cell>
          <cell r="EJ45"/>
          <cell r="EK45"/>
          <cell r="EL45"/>
          <cell r="EM45"/>
          <cell r="EN45"/>
          <cell r="EP45">
            <v>40</v>
          </cell>
          <cell r="EQ45"/>
          <cell r="ER45"/>
          <cell r="ES45"/>
          <cell r="ET45"/>
          <cell r="EU45"/>
          <cell r="EV45"/>
          <cell r="EW45"/>
          <cell r="EX45"/>
          <cell r="EY45"/>
          <cell r="EZ45"/>
          <cell r="FA45"/>
          <cell r="FB45"/>
          <cell r="FC45"/>
          <cell r="FD45"/>
          <cell r="FE45"/>
          <cell r="FF45"/>
          <cell r="FG45"/>
          <cell r="FH45"/>
          <cell r="FI45"/>
          <cell r="FJ45">
            <v>0</v>
          </cell>
          <cell r="FK45">
            <v>0</v>
          </cell>
          <cell r="FL45"/>
          <cell r="FM45"/>
          <cell r="FN45"/>
          <cell r="FO45"/>
          <cell r="FP45"/>
          <cell r="FQ45"/>
          <cell r="FR45">
            <v>0</v>
          </cell>
          <cell r="FS45">
            <v>0</v>
          </cell>
          <cell r="FU45">
            <v>40</v>
          </cell>
          <cell r="FV45">
            <v>0</v>
          </cell>
          <cell r="FW45">
            <v>1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K45">
            <v>40</v>
          </cell>
          <cell r="GL45">
            <v>3.0000000000000001E-3</v>
          </cell>
          <cell r="GM45">
            <v>0.04</v>
          </cell>
          <cell r="GN45"/>
        </row>
        <row r="46">
          <cell r="AD46">
            <v>40</v>
          </cell>
          <cell r="AE46">
            <v>0.8</v>
          </cell>
          <cell r="AF46">
            <v>0.8</v>
          </cell>
          <cell r="DZ46">
            <v>41</v>
          </cell>
          <cell r="EA46">
            <v>0</v>
          </cell>
          <cell r="EB46">
            <v>0</v>
          </cell>
          <cell r="ED46">
            <v>40</v>
          </cell>
          <cell r="EE46">
            <v>0</v>
          </cell>
          <cell r="EF46"/>
          <cell r="EG46">
            <v>0</v>
          </cell>
          <cell r="EH46"/>
          <cell r="EI46">
            <v>0</v>
          </cell>
          <cell r="EJ46"/>
          <cell r="EK46"/>
          <cell r="EL46"/>
          <cell r="EM46"/>
          <cell r="EN46"/>
          <cell r="EP46">
            <v>41</v>
          </cell>
          <cell r="EQ46"/>
          <cell r="ER46"/>
          <cell r="ES46"/>
          <cell r="ET46"/>
          <cell r="EU46"/>
          <cell r="EV46"/>
          <cell r="EW46"/>
          <cell r="EX46"/>
          <cell r="EY46"/>
          <cell r="EZ46"/>
          <cell r="FA46"/>
          <cell r="FB46"/>
          <cell r="FC46"/>
          <cell r="FD46"/>
          <cell r="FE46"/>
          <cell r="FF46"/>
          <cell r="FG46"/>
          <cell r="FH46"/>
          <cell r="FI46"/>
          <cell r="FJ46">
            <v>0</v>
          </cell>
          <cell r="FK46">
            <v>0</v>
          </cell>
          <cell r="FL46"/>
          <cell r="FM46"/>
          <cell r="FN46"/>
          <cell r="FO46"/>
          <cell r="FP46"/>
          <cell r="FQ46"/>
          <cell r="FR46">
            <v>0</v>
          </cell>
          <cell r="FS46">
            <v>0</v>
          </cell>
          <cell r="FU46">
            <v>41</v>
          </cell>
          <cell r="FV46">
            <v>0</v>
          </cell>
          <cell r="FW46">
            <v>1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K46">
            <v>41</v>
          </cell>
          <cell r="GL46">
            <v>3.0000000000000001E-3</v>
          </cell>
          <cell r="GM46">
            <v>0.04</v>
          </cell>
          <cell r="GN46"/>
        </row>
        <row r="47">
          <cell r="AD47">
            <v>41</v>
          </cell>
          <cell r="AE47">
            <v>0.8</v>
          </cell>
          <cell r="AF47">
            <v>0.8</v>
          </cell>
          <cell r="DZ47">
            <v>42</v>
          </cell>
          <cell r="EA47">
            <v>0</v>
          </cell>
          <cell r="EB47">
            <v>0</v>
          </cell>
          <cell r="ED47">
            <v>41</v>
          </cell>
          <cell r="EE47">
            <v>0</v>
          </cell>
          <cell r="EF47"/>
          <cell r="EG47">
            <v>0</v>
          </cell>
          <cell r="EH47"/>
          <cell r="EI47">
            <v>0</v>
          </cell>
          <cell r="EJ47"/>
          <cell r="EK47"/>
          <cell r="EL47"/>
          <cell r="EM47"/>
          <cell r="EN47"/>
          <cell r="EP47">
            <v>42</v>
          </cell>
          <cell r="EQ47"/>
          <cell r="ER47"/>
          <cell r="ES47"/>
          <cell r="ET47"/>
          <cell r="EU47"/>
          <cell r="EV47"/>
          <cell r="EW47"/>
          <cell r="EX47"/>
          <cell r="EY47"/>
          <cell r="EZ47"/>
          <cell r="FA47"/>
          <cell r="FB47"/>
          <cell r="FC47"/>
          <cell r="FD47"/>
          <cell r="FE47"/>
          <cell r="FF47"/>
          <cell r="FG47"/>
          <cell r="FH47"/>
          <cell r="FI47"/>
          <cell r="FJ47">
            <v>0</v>
          </cell>
          <cell r="FK47">
            <v>0</v>
          </cell>
          <cell r="FL47"/>
          <cell r="FM47"/>
          <cell r="FN47"/>
          <cell r="FO47"/>
          <cell r="FP47"/>
          <cell r="FQ47"/>
          <cell r="FR47">
            <v>0</v>
          </cell>
          <cell r="FS47">
            <v>0</v>
          </cell>
          <cell r="FU47">
            <v>42</v>
          </cell>
          <cell r="FV47">
            <v>0</v>
          </cell>
          <cell r="FW47">
            <v>1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K47">
            <v>42</v>
          </cell>
          <cell r="GL47">
            <v>3.0000000000000001E-3</v>
          </cell>
          <cell r="GM47">
            <v>0.04</v>
          </cell>
          <cell r="GN47"/>
        </row>
        <row r="48">
          <cell r="AD48">
            <v>42</v>
          </cell>
          <cell r="AE48">
            <v>0.8</v>
          </cell>
          <cell r="AF48">
            <v>0.8</v>
          </cell>
          <cell r="DZ48">
            <v>43</v>
          </cell>
          <cell r="EA48">
            <v>0</v>
          </cell>
          <cell r="EB48">
            <v>0</v>
          </cell>
          <cell r="ED48">
            <v>42</v>
          </cell>
          <cell r="EE48">
            <v>0</v>
          </cell>
          <cell r="EF48"/>
          <cell r="EG48">
            <v>0</v>
          </cell>
          <cell r="EH48"/>
          <cell r="EI48">
            <v>0</v>
          </cell>
          <cell r="EJ48"/>
          <cell r="EK48"/>
          <cell r="EL48"/>
          <cell r="EM48"/>
          <cell r="EN48"/>
          <cell r="EP48">
            <v>43</v>
          </cell>
          <cell r="EQ48"/>
          <cell r="ER48"/>
          <cell r="ES48"/>
          <cell r="ET48"/>
          <cell r="EU48"/>
          <cell r="EV48"/>
          <cell r="EW48"/>
          <cell r="EX48"/>
          <cell r="EY48"/>
          <cell r="EZ48"/>
          <cell r="FA48"/>
          <cell r="FB48"/>
          <cell r="FC48"/>
          <cell r="FD48"/>
          <cell r="FE48"/>
          <cell r="FF48"/>
          <cell r="FG48"/>
          <cell r="FH48"/>
          <cell r="FI48"/>
          <cell r="FJ48">
            <v>0</v>
          </cell>
          <cell r="FK48">
            <v>0</v>
          </cell>
          <cell r="FL48"/>
          <cell r="FM48"/>
          <cell r="FN48"/>
          <cell r="FO48"/>
          <cell r="FP48"/>
          <cell r="FQ48"/>
          <cell r="FR48">
            <v>0</v>
          </cell>
          <cell r="FS48">
            <v>0</v>
          </cell>
          <cell r="FU48">
            <v>43</v>
          </cell>
          <cell r="FV48">
            <v>0</v>
          </cell>
          <cell r="FW48">
            <v>1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K48">
            <v>43</v>
          </cell>
          <cell r="GL48">
            <v>3.0000000000000001E-3</v>
          </cell>
          <cell r="GM48">
            <v>0.04</v>
          </cell>
          <cell r="GN48"/>
        </row>
        <row r="49">
          <cell r="AD49">
            <v>43</v>
          </cell>
          <cell r="AE49">
            <v>0.8</v>
          </cell>
          <cell r="AF49">
            <v>0.8</v>
          </cell>
          <cell r="DZ49">
            <v>44</v>
          </cell>
          <cell r="EA49">
            <v>0</v>
          </cell>
          <cell r="EB49">
            <v>0</v>
          </cell>
          <cell r="ED49">
            <v>43</v>
          </cell>
          <cell r="EE49">
            <v>0</v>
          </cell>
          <cell r="EF49"/>
          <cell r="EG49">
            <v>0</v>
          </cell>
          <cell r="EH49"/>
          <cell r="EI49">
            <v>0</v>
          </cell>
          <cell r="EJ49"/>
          <cell r="EK49"/>
          <cell r="EL49"/>
          <cell r="EM49"/>
          <cell r="EN49"/>
          <cell r="EP49">
            <v>44</v>
          </cell>
          <cell r="EQ49"/>
          <cell r="ER49"/>
          <cell r="ES49"/>
          <cell r="ET49"/>
          <cell r="EU49"/>
          <cell r="EV49"/>
          <cell r="EW49"/>
          <cell r="EX49"/>
          <cell r="EY49"/>
          <cell r="EZ49"/>
          <cell r="FA49"/>
          <cell r="FB49"/>
          <cell r="FC49"/>
          <cell r="FD49"/>
          <cell r="FE49"/>
          <cell r="FF49"/>
          <cell r="FG49"/>
          <cell r="FH49"/>
          <cell r="FI49"/>
          <cell r="FJ49">
            <v>0</v>
          </cell>
          <cell r="FK49">
            <v>0</v>
          </cell>
          <cell r="FL49"/>
          <cell r="FM49"/>
          <cell r="FN49"/>
          <cell r="FO49"/>
          <cell r="FP49"/>
          <cell r="FQ49"/>
          <cell r="FR49">
            <v>0</v>
          </cell>
          <cell r="FS49">
            <v>0</v>
          </cell>
          <cell r="FU49">
            <v>44</v>
          </cell>
          <cell r="FV49">
            <v>0</v>
          </cell>
          <cell r="FW49">
            <v>1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K49">
            <v>44</v>
          </cell>
          <cell r="GL49">
            <v>3.0000000000000001E-3</v>
          </cell>
          <cell r="GM49">
            <v>0.04</v>
          </cell>
          <cell r="GN49"/>
        </row>
        <row r="50">
          <cell r="AD50">
            <v>44</v>
          </cell>
          <cell r="AE50">
            <v>0.8</v>
          </cell>
          <cell r="AF50">
            <v>0.8</v>
          </cell>
          <cell r="DZ50">
            <v>45</v>
          </cell>
          <cell r="EA50">
            <v>0</v>
          </cell>
          <cell r="EB50">
            <v>0</v>
          </cell>
          <cell r="ED50">
            <v>44</v>
          </cell>
          <cell r="EE50">
            <v>0</v>
          </cell>
          <cell r="EF50"/>
          <cell r="EG50">
            <v>0</v>
          </cell>
          <cell r="EH50"/>
          <cell r="EI50">
            <v>0</v>
          </cell>
          <cell r="EJ50"/>
          <cell r="EK50"/>
          <cell r="EL50"/>
          <cell r="EM50"/>
          <cell r="EN50"/>
          <cell r="EP50">
            <v>45</v>
          </cell>
          <cell r="EQ50"/>
          <cell r="ER50"/>
          <cell r="ES50"/>
          <cell r="ET50"/>
          <cell r="EU50"/>
          <cell r="EV50"/>
          <cell r="EW50"/>
          <cell r="EX50"/>
          <cell r="EY50"/>
          <cell r="EZ50"/>
          <cell r="FA50"/>
          <cell r="FB50"/>
          <cell r="FC50"/>
          <cell r="FD50"/>
          <cell r="FE50"/>
          <cell r="FF50"/>
          <cell r="FG50"/>
          <cell r="FH50"/>
          <cell r="FI50"/>
          <cell r="FJ50">
            <v>0</v>
          </cell>
          <cell r="FK50">
            <v>0</v>
          </cell>
          <cell r="FL50"/>
          <cell r="FM50"/>
          <cell r="FN50"/>
          <cell r="FO50"/>
          <cell r="FP50"/>
          <cell r="FQ50"/>
          <cell r="FR50">
            <v>0</v>
          </cell>
          <cell r="FS50">
            <v>0</v>
          </cell>
          <cell r="FU50">
            <v>45</v>
          </cell>
          <cell r="FV50">
            <v>0</v>
          </cell>
          <cell r="FW50">
            <v>1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K50">
            <v>45</v>
          </cell>
          <cell r="GL50">
            <v>3.0000000000000001E-3</v>
          </cell>
          <cell r="GM50">
            <v>0.04</v>
          </cell>
          <cell r="GN50"/>
        </row>
        <row r="51">
          <cell r="AD51">
            <v>45</v>
          </cell>
          <cell r="AE51">
            <v>0.8</v>
          </cell>
          <cell r="AF51">
            <v>0.8</v>
          </cell>
          <cell r="DZ51">
            <v>46</v>
          </cell>
          <cell r="EA51">
            <v>0</v>
          </cell>
          <cell r="EB51">
            <v>0</v>
          </cell>
          <cell r="ED51">
            <v>45</v>
          </cell>
          <cell r="EE51">
            <v>0</v>
          </cell>
          <cell r="EF51"/>
          <cell r="EG51">
            <v>0</v>
          </cell>
          <cell r="EH51"/>
          <cell r="EI51">
            <v>0</v>
          </cell>
          <cell r="EJ51"/>
          <cell r="EK51"/>
          <cell r="EL51"/>
          <cell r="EM51"/>
          <cell r="EN51"/>
          <cell r="EP51">
            <v>46</v>
          </cell>
          <cell r="EQ51"/>
          <cell r="ER51"/>
          <cell r="ES51"/>
          <cell r="ET51"/>
          <cell r="EU51"/>
          <cell r="EV51"/>
          <cell r="EW51"/>
          <cell r="EX51"/>
          <cell r="EY51"/>
          <cell r="EZ51"/>
          <cell r="FA51"/>
          <cell r="FB51"/>
          <cell r="FC51"/>
          <cell r="FD51"/>
          <cell r="FE51"/>
          <cell r="FF51"/>
          <cell r="FG51"/>
          <cell r="FH51"/>
          <cell r="FI51"/>
          <cell r="FJ51">
            <v>0</v>
          </cell>
          <cell r="FK51">
            <v>0</v>
          </cell>
          <cell r="FL51"/>
          <cell r="FM51"/>
          <cell r="FN51"/>
          <cell r="FO51"/>
          <cell r="FP51"/>
          <cell r="FQ51"/>
          <cell r="FR51">
            <v>0</v>
          </cell>
          <cell r="FS51">
            <v>0</v>
          </cell>
          <cell r="FU51">
            <v>46</v>
          </cell>
          <cell r="FV51">
            <v>0</v>
          </cell>
          <cell r="FW51">
            <v>1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K51">
            <v>46</v>
          </cell>
          <cell r="GL51">
            <v>3.0000000000000001E-3</v>
          </cell>
          <cell r="GM51">
            <v>0.04</v>
          </cell>
          <cell r="GN51"/>
        </row>
        <row r="52">
          <cell r="AD52">
            <v>46</v>
          </cell>
          <cell r="AE52">
            <v>0.8</v>
          </cell>
          <cell r="AF52">
            <v>0.8</v>
          </cell>
          <cell r="DZ52">
            <v>47</v>
          </cell>
          <cell r="EA52">
            <v>0</v>
          </cell>
          <cell r="EB52">
            <v>0</v>
          </cell>
          <cell r="ED52">
            <v>46</v>
          </cell>
          <cell r="EE52">
            <v>0</v>
          </cell>
          <cell r="EF52"/>
          <cell r="EG52">
            <v>0</v>
          </cell>
          <cell r="EH52"/>
          <cell r="EI52">
            <v>0</v>
          </cell>
          <cell r="EJ52"/>
          <cell r="EK52"/>
          <cell r="EL52"/>
          <cell r="EM52"/>
          <cell r="EN52"/>
          <cell r="EP52">
            <v>47</v>
          </cell>
          <cell r="EQ52"/>
          <cell r="ER52"/>
          <cell r="ES52"/>
          <cell r="ET52"/>
          <cell r="EU52"/>
          <cell r="EV52"/>
          <cell r="EW52"/>
          <cell r="EX52"/>
          <cell r="EY52"/>
          <cell r="EZ52"/>
          <cell r="FA52"/>
          <cell r="FB52"/>
          <cell r="FC52"/>
          <cell r="FD52"/>
          <cell r="FE52"/>
          <cell r="FF52"/>
          <cell r="FG52"/>
          <cell r="FH52"/>
          <cell r="FI52"/>
          <cell r="FJ52">
            <v>0</v>
          </cell>
          <cell r="FK52">
            <v>0</v>
          </cell>
          <cell r="FL52"/>
          <cell r="FM52"/>
          <cell r="FN52"/>
          <cell r="FO52"/>
          <cell r="FP52"/>
          <cell r="FQ52"/>
          <cell r="FR52">
            <v>0</v>
          </cell>
          <cell r="FS52">
            <v>0</v>
          </cell>
          <cell r="FU52">
            <v>47</v>
          </cell>
          <cell r="FV52">
            <v>0</v>
          </cell>
          <cell r="FW52">
            <v>1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K52">
            <v>47</v>
          </cell>
          <cell r="GL52">
            <v>3.0000000000000001E-3</v>
          </cell>
          <cell r="GM52">
            <v>0.04</v>
          </cell>
          <cell r="GN52"/>
        </row>
        <row r="53">
          <cell r="AD53">
            <v>47</v>
          </cell>
          <cell r="AE53">
            <v>0.8</v>
          </cell>
          <cell r="AF53">
            <v>0.8</v>
          </cell>
          <cell r="DZ53">
            <v>48</v>
          </cell>
          <cell r="EA53">
            <v>0</v>
          </cell>
          <cell r="EB53">
            <v>0</v>
          </cell>
          <cell r="ED53">
            <v>47</v>
          </cell>
          <cell r="EE53">
            <v>0</v>
          </cell>
          <cell r="EF53"/>
          <cell r="EG53">
            <v>0</v>
          </cell>
          <cell r="EH53"/>
          <cell r="EI53">
            <v>0</v>
          </cell>
          <cell r="EJ53"/>
          <cell r="EK53"/>
          <cell r="EL53"/>
          <cell r="EM53"/>
          <cell r="EN53"/>
          <cell r="EP53">
            <v>48</v>
          </cell>
          <cell r="EQ53"/>
          <cell r="ER53"/>
          <cell r="ES53"/>
          <cell r="ET53"/>
          <cell r="EU53"/>
          <cell r="EV53"/>
          <cell r="EW53"/>
          <cell r="EX53"/>
          <cell r="EY53"/>
          <cell r="EZ53"/>
          <cell r="FA53"/>
          <cell r="FB53"/>
          <cell r="FC53"/>
          <cell r="FD53"/>
          <cell r="FE53"/>
          <cell r="FF53"/>
          <cell r="FG53"/>
          <cell r="FH53"/>
          <cell r="FI53"/>
          <cell r="FJ53">
            <v>0</v>
          </cell>
          <cell r="FK53">
            <v>0</v>
          </cell>
          <cell r="FL53"/>
          <cell r="FM53"/>
          <cell r="FN53"/>
          <cell r="FO53"/>
          <cell r="FP53"/>
          <cell r="FQ53"/>
          <cell r="FR53">
            <v>0</v>
          </cell>
          <cell r="FS53">
            <v>0</v>
          </cell>
          <cell r="FU53">
            <v>48</v>
          </cell>
          <cell r="FV53">
            <v>0</v>
          </cell>
          <cell r="FW53">
            <v>1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K53">
            <v>48</v>
          </cell>
          <cell r="GL53">
            <v>3.0000000000000001E-3</v>
          </cell>
          <cell r="GM53">
            <v>0.04</v>
          </cell>
          <cell r="GN53"/>
        </row>
        <row r="54">
          <cell r="AD54">
            <v>48</v>
          </cell>
          <cell r="AE54">
            <v>0.8</v>
          </cell>
          <cell r="AF54">
            <v>0.8</v>
          </cell>
          <cell r="DZ54">
            <v>49</v>
          </cell>
          <cell r="EA54">
            <v>0</v>
          </cell>
          <cell r="EB54">
            <v>0</v>
          </cell>
          <cell r="ED54">
            <v>48</v>
          </cell>
          <cell r="EE54">
            <v>0</v>
          </cell>
          <cell r="EF54"/>
          <cell r="EG54">
            <v>0</v>
          </cell>
          <cell r="EH54"/>
          <cell r="EI54">
            <v>0</v>
          </cell>
          <cell r="EJ54"/>
          <cell r="EK54"/>
          <cell r="EL54"/>
          <cell r="EM54"/>
          <cell r="EN54"/>
          <cell r="EP54">
            <v>49</v>
          </cell>
          <cell r="EQ54"/>
          <cell r="ER54"/>
          <cell r="ES54"/>
          <cell r="ET54"/>
          <cell r="EU54"/>
          <cell r="EV54"/>
          <cell r="EW54"/>
          <cell r="EX54"/>
          <cell r="EY54"/>
          <cell r="EZ54"/>
          <cell r="FA54"/>
          <cell r="FB54"/>
          <cell r="FC54"/>
          <cell r="FD54"/>
          <cell r="FE54"/>
          <cell r="FF54"/>
          <cell r="FG54"/>
          <cell r="FH54"/>
          <cell r="FI54"/>
          <cell r="FJ54">
            <v>0</v>
          </cell>
          <cell r="FK54">
            <v>0</v>
          </cell>
          <cell r="FL54"/>
          <cell r="FM54"/>
          <cell r="FN54"/>
          <cell r="FO54"/>
          <cell r="FP54"/>
          <cell r="FQ54"/>
          <cell r="FR54">
            <v>0</v>
          </cell>
          <cell r="FS54">
            <v>0</v>
          </cell>
          <cell r="FU54">
            <v>49</v>
          </cell>
          <cell r="FV54">
            <v>0</v>
          </cell>
          <cell r="FW54">
            <v>1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1</v>
          </cell>
          <cell r="GK54">
            <v>49</v>
          </cell>
          <cell r="GL54">
            <v>3.0000000000000001E-3</v>
          </cell>
          <cell r="GM54">
            <v>0.04</v>
          </cell>
          <cell r="GN54"/>
        </row>
        <row r="55">
          <cell r="AD55">
            <v>49</v>
          </cell>
          <cell r="AE55">
            <v>0.8</v>
          </cell>
          <cell r="AF55">
            <v>0.8</v>
          </cell>
          <cell r="DZ55">
            <v>50</v>
          </cell>
          <cell r="EA55">
            <v>0</v>
          </cell>
          <cell r="EB55">
            <v>0</v>
          </cell>
          <cell r="ED55">
            <v>49</v>
          </cell>
          <cell r="EE55">
            <v>0</v>
          </cell>
          <cell r="EF55"/>
          <cell r="EG55">
            <v>0</v>
          </cell>
          <cell r="EH55"/>
          <cell r="EI55">
            <v>0</v>
          </cell>
          <cell r="EJ55"/>
          <cell r="EK55"/>
          <cell r="EL55"/>
          <cell r="EM55"/>
          <cell r="EN55"/>
          <cell r="EP55">
            <v>50</v>
          </cell>
          <cell r="EQ55"/>
          <cell r="ER55"/>
          <cell r="ES55"/>
          <cell r="ET55"/>
          <cell r="EU55"/>
          <cell r="EV55"/>
          <cell r="EW55"/>
          <cell r="EX55"/>
          <cell r="EY55"/>
          <cell r="EZ55"/>
          <cell r="FA55"/>
          <cell r="FB55"/>
          <cell r="FC55"/>
          <cell r="FD55"/>
          <cell r="FE55"/>
          <cell r="FF55"/>
          <cell r="FG55"/>
          <cell r="FH55"/>
          <cell r="FI55"/>
          <cell r="FJ55">
            <v>0</v>
          </cell>
          <cell r="FK55">
            <v>0</v>
          </cell>
          <cell r="FL55"/>
          <cell r="FM55"/>
          <cell r="FN55"/>
          <cell r="FO55"/>
          <cell r="FP55"/>
          <cell r="FQ55"/>
          <cell r="FR55">
            <v>0</v>
          </cell>
          <cell r="FS55">
            <v>0</v>
          </cell>
          <cell r="FU55">
            <v>50</v>
          </cell>
          <cell r="FV55">
            <v>0</v>
          </cell>
          <cell r="FW55">
            <v>1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K55">
            <v>50</v>
          </cell>
          <cell r="GL55">
            <v>3.0000000000000001E-3</v>
          </cell>
          <cell r="GM55">
            <v>0.04</v>
          </cell>
          <cell r="GN55"/>
        </row>
        <row r="56">
          <cell r="AD56">
            <v>50</v>
          </cell>
          <cell r="AE56">
            <v>0.8</v>
          </cell>
          <cell r="AF56">
            <v>0.8</v>
          </cell>
          <cell r="DZ56">
            <v>51</v>
          </cell>
          <cell r="EA56">
            <v>0</v>
          </cell>
          <cell r="EB56">
            <v>0</v>
          </cell>
          <cell r="ED56">
            <v>50</v>
          </cell>
          <cell r="EE56">
            <v>0</v>
          </cell>
          <cell r="EF56"/>
          <cell r="EG56">
            <v>0</v>
          </cell>
          <cell r="EH56"/>
          <cell r="EI56">
            <v>0</v>
          </cell>
          <cell r="EJ56"/>
          <cell r="EK56"/>
          <cell r="EL56"/>
          <cell r="EM56"/>
          <cell r="EN56"/>
          <cell r="EP56">
            <v>51</v>
          </cell>
          <cell r="EQ56"/>
          <cell r="ER56"/>
          <cell r="ES56"/>
          <cell r="ET56"/>
          <cell r="EU56"/>
          <cell r="EV56"/>
          <cell r="EW56"/>
          <cell r="EX56"/>
          <cell r="EY56"/>
          <cell r="EZ56"/>
          <cell r="FA56"/>
          <cell r="FB56"/>
          <cell r="FC56"/>
          <cell r="FD56"/>
          <cell r="FE56"/>
          <cell r="FF56"/>
          <cell r="FG56"/>
          <cell r="FH56"/>
          <cell r="FI56"/>
          <cell r="FJ56">
            <v>0</v>
          </cell>
          <cell r="FK56">
            <v>0</v>
          </cell>
          <cell r="FL56"/>
          <cell r="FM56"/>
          <cell r="FN56"/>
          <cell r="FO56"/>
          <cell r="FP56"/>
          <cell r="FQ56"/>
          <cell r="FR56">
            <v>0</v>
          </cell>
          <cell r="FS56">
            <v>0</v>
          </cell>
          <cell r="FU56">
            <v>51</v>
          </cell>
          <cell r="FV56">
            <v>0</v>
          </cell>
          <cell r="FW56">
            <v>1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K56">
            <v>51</v>
          </cell>
          <cell r="GL56">
            <v>3.0000000000000001E-3</v>
          </cell>
          <cell r="GM56">
            <v>0.04</v>
          </cell>
          <cell r="GN56"/>
        </row>
        <row r="57">
          <cell r="AD57">
            <v>51</v>
          </cell>
          <cell r="AE57">
            <v>0.8</v>
          </cell>
          <cell r="AF57">
            <v>0.8</v>
          </cell>
          <cell r="DZ57">
            <v>52</v>
          </cell>
          <cell r="EA57">
            <v>0</v>
          </cell>
          <cell r="EB57">
            <v>0</v>
          </cell>
          <cell r="ED57">
            <v>51</v>
          </cell>
          <cell r="EE57">
            <v>0</v>
          </cell>
          <cell r="EF57"/>
          <cell r="EG57">
            <v>0</v>
          </cell>
          <cell r="EH57"/>
          <cell r="EI57">
            <v>0</v>
          </cell>
          <cell r="EJ57"/>
          <cell r="EK57"/>
          <cell r="EL57"/>
          <cell r="EM57"/>
          <cell r="EN57"/>
          <cell r="EP57">
            <v>52</v>
          </cell>
          <cell r="EQ57"/>
          <cell r="ER57"/>
          <cell r="ES57"/>
          <cell r="ET57"/>
          <cell r="EU57"/>
          <cell r="EV57"/>
          <cell r="EW57"/>
          <cell r="EX57"/>
          <cell r="EY57"/>
          <cell r="EZ57"/>
          <cell r="FA57"/>
          <cell r="FB57"/>
          <cell r="FC57"/>
          <cell r="FD57"/>
          <cell r="FE57"/>
          <cell r="FF57"/>
          <cell r="FG57"/>
          <cell r="FH57"/>
          <cell r="FI57"/>
          <cell r="FJ57">
            <v>0</v>
          </cell>
          <cell r="FK57">
            <v>0</v>
          </cell>
          <cell r="FL57"/>
          <cell r="FM57"/>
          <cell r="FN57"/>
          <cell r="FO57"/>
          <cell r="FP57"/>
          <cell r="FQ57"/>
          <cell r="FR57">
            <v>0</v>
          </cell>
          <cell r="FS57">
            <v>0</v>
          </cell>
          <cell r="FU57">
            <v>52</v>
          </cell>
          <cell r="FV57">
            <v>0</v>
          </cell>
          <cell r="FW57">
            <v>1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K57">
            <v>52</v>
          </cell>
          <cell r="GL57">
            <v>3.0000000000000001E-3</v>
          </cell>
          <cell r="GM57">
            <v>0.04</v>
          </cell>
          <cell r="GN57"/>
        </row>
        <row r="58">
          <cell r="AD58">
            <v>52</v>
          </cell>
          <cell r="AE58">
            <v>0.8</v>
          </cell>
          <cell r="AF58">
            <v>0.8</v>
          </cell>
          <cell r="DZ58">
            <v>53</v>
          </cell>
          <cell r="EA58">
            <v>0</v>
          </cell>
          <cell r="EB58">
            <v>0</v>
          </cell>
          <cell r="ED58">
            <v>52</v>
          </cell>
          <cell r="EE58">
            <v>0</v>
          </cell>
          <cell r="EF58"/>
          <cell r="EG58">
            <v>0</v>
          </cell>
          <cell r="EH58"/>
          <cell r="EI58">
            <v>0</v>
          </cell>
          <cell r="EJ58"/>
          <cell r="EK58"/>
          <cell r="EL58"/>
          <cell r="EM58"/>
          <cell r="EN58"/>
          <cell r="EP58">
            <v>53</v>
          </cell>
          <cell r="EQ58"/>
          <cell r="ER58"/>
          <cell r="ES58"/>
          <cell r="ET58"/>
          <cell r="EU58"/>
          <cell r="EV58"/>
          <cell r="EW58"/>
          <cell r="EX58"/>
          <cell r="EY58"/>
          <cell r="EZ58"/>
          <cell r="FA58"/>
          <cell r="FB58"/>
          <cell r="FC58"/>
          <cell r="FD58"/>
          <cell r="FE58"/>
          <cell r="FF58"/>
          <cell r="FG58"/>
          <cell r="FH58"/>
          <cell r="FI58"/>
          <cell r="FJ58">
            <v>0</v>
          </cell>
          <cell r="FK58">
            <v>0</v>
          </cell>
          <cell r="FL58"/>
          <cell r="FM58"/>
          <cell r="FN58"/>
          <cell r="FO58"/>
          <cell r="FP58"/>
          <cell r="FQ58"/>
          <cell r="FR58">
            <v>0</v>
          </cell>
          <cell r="FS58">
            <v>0</v>
          </cell>
          <cell r="FU58">
            <v>53</v>
          </cell>
          <cell r="FV58">
            <v>0</v>
          </cell>
          <cell r="FW58">
            <v>1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K58">
            <v>53</v>
          </cell>
          <cell r="GL58">
            <v>3.0000000000000001E-3</v>
          </cell>
          <cell r="GM58">
            <v>0.04</v>
          </cell>
          <cell r="GN58"/>
        </row>
        <row r="59">
          <cell r="AD59">
            <v>53</v>
          </cell>
          <cell r="AE59">
            <v>0.8</v>
          </cell>
          <cell r="AF59">
            <v>0.8</v>
          </cell>
          <cell r="DZ59">
            <v>54</v>
          </cell>
          <cell r="EA59">
            <v>0</v>
          </cell>
          <cell r="EB59">
            <v>0</v>
          </cell>
          <cell r="ED59">
            <v>53</v>
          </cell>
          <cell r="EE59">
            <v>0</v>
          </cell>
          <cell r="EF59"/>
          <cell r="EG59">
            <v>0</v>
          </cell>
          <cell r="EH59"/>
          <cell r="EI59">
            <v>0</v>
          </cell>
          <cell r="EJ59"/>
          <cell r="EK59"/>
          <cell r="EL59"/>
          <cell r="EM59"/>
          <cell r="EN59"/>
          <cell r="EP59">
            <v>54</v>
          </cell>
          <cell r="EQ59"/>
          <cell r="ER59"/>
          <cell r="ES59"/>
          <cell r="ET59"/>
          <cell r="EU59"/>
          <cell r="EV59"/>
          <cell r="EW59"/>
          <cell r="EX59"/>
          <cell r="EY59"/>
          <cell r="EZ59"/>
          <cell r="FA59"/>
          <cell r="FB59"/>
          <cell r="FC59"/>
          <cell r="FD59"/>
          <cell r="FE59"/>
          <cell r="FF59"/>
          <cell r="FG59"/>
          <cell r="FH59"/>
          <cell r="FI59"/>
          <cell r="FJ59">
            <v>0</v>
          </cell>
          <cell r="FK59">
            <v>0</v>
          </cell>
          <cell r="FL59"/>
          <cell r="FM59"/>
          <cell r="FN59"/>
          <cell r="FO59"/>
          <cell r="FP59"/>
          <cell r="FQ59"/>
          <cell r="FR59">
            <v>0</v>
          </cell>
          <cell r="FS59">
            <v>0</v>
          </cell>
          <cell r="FU59">
            <v>54</v>
          </cell>
          <cell r="FV59">
            <v>0</v>
          </cell>
          <cell r="FW59">
            <v>1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K59">
            <v>54</v>
          </cell>
          <cell r="GL59">
            <v>3.0000000000000001E-3</v>
          </cell>
          <cell r="GM59">
            <v>0.04</v>
          </cell>
          <cell r="GN59"/>
        </row>
        <row r="60">
          <cell r="AD60">
            <v>54</v>
          </cell>
          <cell r="AE60">
            <v>0.8</v>
          </cell>
          <cell r="AF60">
            <v>0.8</v>
          </cell>
          <cell r="DZ60">
            <v>55</v>
          </cell>
          <cell r="EA60">
            <v>0</v>
          </cell>
          <cell r="EB60">
            <v>0</v>
          </cell>
          <cell r="ED60">
            <v>54</v>
          </cell>
          <cell r="EE60">
            <v>0</v>
          </cell>
          <cell r="EF60"/>
          <cell r="EG60">
            <v>0</v>
          </cell>
          <cell r="EH60"/>
          <cell r="EI60">
            <v>0</v>
          </cell>
          <cell r="EJ60"/>
          <cell r="EK60"/>
          <cell r="EL60"/>
          <cell r="EM60"/>
          <cell r="EN60"/>
          <cell r="EP60">
            <v>55</v>
          </cell>
          <cell r="EQ60"/>
          <cell r="ER60"/>
          <cell r="ES60"/>
          <cell r="ET60"/>
          <cell r="EU60"/>
          <cell r="EV60"/>
          <cell r="EW60"/>
          <cell r="EX60"/>
          <cell r="EY60"/>
          <cell r="EZ60"/>
          <cell r="FA60"/>
          <cell r="FB60"/>
          <cell r="FC60"/>
          <cell r="FD60"/>
          <cell r="FE60"/>
          <cell r="FF60"/>
          <cell r="FG60"/>
          <cell r="FH60"/>
          <cell r="FI60"/>
          <cell r="FJ60">
            <v>0</v>
          </cell>
          <cell r="FK60">
            <v>0</v>
          </cell>
          <cell r="FL60"/>
          <cell r="FM60"/>
          <cell r="FN60"/>
          <cell r="FO60"/>
          <cell r="FP60"/>
          <cell r="FQ60"/>
          <cell r="FR60">
            <v>0</v>
          </cell>
          <cell r="FS60">
            <v>0</v>
          </cell>
          <cell r="FU60">
            <v>55</v>
          </cell>
          <cell r="FV60">
            <v>0</v>
          </cell>
          <cell r="FW60">
            <v>1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K60">
            <v>55</v>
          </cell>
          <cell r="GL60">
            <v>3.0000000000000001E-3</v>
          </cell>
          <cell r="GM60">
            <v>0.04</v>
          </cell>
          <cell r="GN60"/>
        </row>
        <row r="61">
          <cell r="AD61">
            <v>55</v>
          </cell>
          <cell r="AE61">
            <v>0.8</v>
          </cell>
          <cell r="AF61">
            <v>0.8</v>
          </cell>
          <cell r="DZ61">
            <v>56</v>
          </cell>
          <cell r="EA61">
            <v>0</v>
          </cell>
          <cell r="EB61">
            <v>0</v>
          </cell>
          <cell r="ED61">
            <v>55</v>
          </cell>
          <cell r="EE61">
            <v>0</v>
          </cell>
          <cell r="EF61"/>
          <cell r="EG61">
            <v>0</v>
          </cell>
          <cell r="EH61"/>
          <cell r="EI61">
            <v>0</v>
          </cell>
          <cell r="EJ61"/>
          <cell r="EK61"/>
          <cell r="EL61"/>
          <cell r="EM61"/>
          <cell r="EN61"/>
          <cell r="EP61">
            <v>56</v>
          </cell>
          <cell r="EQ61"/>
          <cell r="ER61"/>
          <cell r="ES61"/>
          <cell r="ET61"/>
          <cell r="EU61"/>
          <cell r="EV61"/>
          <cell r="EW61"/>
          <cell r="EX61"/>
          <cell r="EY61"/>
          <cell r="EZ61"/>
          <cell r="FA61"/>
          <cell r="FB61"/>
          <cell r="FC61"/>
          <cell r="FD61"/>
          <cell r="FE61"/>
          <cell r="FF61"/>
          <cell r="FG61"/>
          <cell r="FH61"/>
          <cell r="FI61"/>
          <cell r="FJ61">
            <v>0</v>
          </cell>
          <cell r="FK61">
            <v>0</v>
          </cell>
          <cell r="FL61"/>
          <cell r="FM61"/>
          <cell r="FN61"/>
          <cell r="FO61"/>
          <cell r="FP61"/>
          <cell r="FQ61"/>
          <cell r="FR61">
            <v>0</v>
          </cell>
          <cell r="FS61">
            <v>0</v>
          </cell>
          <cell r="FU61">
            <v>56</v>
          </cell>
          <cell r="FV61">
            <v>0</v>
          </cell>
          <cell r="FW61">
            <v>1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K61">
            <v>56</v>
          </cell>
          <cell r="GL61">
            <v>3.0000000000000001E-3</v>
          </cell>
          <cell r="GM61">
            <v>0.04</v>
          </cell>
          <cell r="GN61"/>
        </row>
        <row r="62">
          <cell r="AD62">
            <v>56</v>
          </cell>
          <cell r="AE62">
            <v>0.8</v>
          </cell>
          <cell r="AF62">
            <v>0.8</v>
          </cell>
          <cell r="DZ62">
            <v>57</v>
          </cell>
          <cell r="EA62">
            <v>0</v>
          </cell>
          <cell r="EB62">
            <v>0</v>
          </cell>
          <cell r="ED62">
            <v>56</v>
          </cell>
          <cell r="EE62">
            <v>0</v>
          </cell>
          <cell r="EF62"/>
          <cell r="EG62">
            <v>0</v>
          </cell>
          <cell r="EH62"/>
          <cell r="EI62">
            <v>0</v>
          </cell>
          <cell r="EJ62"/>
          <cell r="EK62"/>
          <cell r="EL62"/>
          <cell r="EM62"/>
          <cell r="EN62"/>
          <cell r="EP62">
            <v>57</v>
          </cell>
          <cell r="EQ62"/>
          <cell r="ER62"/>
          <cell r="ES62"/>
          <cell r="ET62"/>
          <cell r="EU62"/>
          <cell r="EV62"/>
          <cell r="EW62"/>
          <cell r="EX62"/>
          <cell r="EY62"/>
          <cell r="EZ62"/>
          <cell r="FA62"/>
          <cell r="FB62"/>
          <cell r="FC62"/>
          <cell r="FD62"/>
          <cell r="FE62"/>
          <cell r="FF62"/>
          <cell r="FG62"/>
          <cell r="FH62"/>
          <cell r="FI62"/>
          <cell r="FJ62">
            <v>0</v>
          </cell>
          <cell r="FK62">
            <v>0</v>
          </cell>
          <cell r="FL62"/>
          <cell r="FM62"/>
          <cell r="FN62"/>
          <cell r="FO62"/>
          <cell r="FP62"/>
          <cell r="FQ62"/>
          <cell r="FR62">
            <v>0</v>
          </cell>
          <cell r="FS62">
            <v>0</v>
          </cell>
          <cell r="FU62">
            <v>57</v>
          </cell>
          <cell r="FV62">
            <v>0</v>
          </cell>
          <cell r="FW62">
            <v>1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K62">
            <v>57</v>
          </cell>
          <cell r="GL62">
            <v>3.0000000000000001E-3</v>
          </cell>
          <cell r="GM62">
            <v>0.04</v>
          </cell>
          <cell r="GN62"/>
        </row>
        <row r="63">
          <cell r="AD63">
            <v>57</v>
          </cell>
          <cell r="AE63">
            <v>0.8</v>
          </cell>
          <cell r="AF63">
            <v>0.8</v>
          </cell>
          <cell r="DZ63">
            <v>58</v>
          </cell>
          <cell r="EA63">
            <v>0</v>
          </cell>
          <cell r="EB63">
            <v>0</v>
          </cell>
          <cell r="ED63">
            <v>57</v>
          </cell>
          <cell r="EE63">
            <v>0</v>
          </cell>
          <cell r="EF63"/>
          <cell r="EG63">
            <v>0</v>
          </cell>
          <cell r="EH63"/>
          <cell r="EI63">
            <v>0</v>
          </cell>
          <cell r="EJ63"/>
          <cell r="EK63"/>
          <cell r="EL63"/>
          <cell r="EM63"/>
          <cell r="EN63"/>
          <cell r="EP63">
            <v>58</v>
          </cell>
          <cell r="EQ63"/>
          <cell r="ER63"/>
          <cell r="ES63"/>
          <cell r="ET63"/>
          <cell r="EU63"/>
          <cell r="EV63"/>
          <cell r="EW63"/>
          <cell r="EX63"/>
          <cell r="EY63"/>
          <cell r="EZ63"/>
          <cell r="FA63"/>
          <cell r="FB63"/>
          <cell r="FC63"/>
          <cell r="FD63"/>
          <cell r="FE63"/>
          <cell r="FF63"/>
          <cell r="FG63"/>
          <cell r="FH63"/>
          <cell r="FI63"/>
          <cell r="FJ63">
            <v>0</v>
          </cell>
          <cell r="FK63">
            <v>0</v>
          </cell>
          <cell r="FL63"/>
          <cell r="FM63"/>
          <cell r="FN63"/>
          <cell r="FO63"/>
          <cell r="FP63"/>
          <cell r="FQ63"/>
          <cell r="FR63">
            <v>0</v>
          </cell>
          <cell r="FS63">
            <v>0</v>
          </cell>
          <cell r="FU63">
            <v>58</v>
          </cell>
          <cell r="FV63">
            <v>0</v>
          </cell>
          <cell r="FW63">
            <v>1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K63">
            <v>58</v>
          </cell>
          <cell r="GL63">
            <v>3.0000000000000001E-3</v>
          </cell>
          <cell r="GM63">
            <v>0.04</v>
          </cell>
          <cell r="GN63"/>
        </row>
        <row r="64">
          <cell r="AD64">
            <v>58</v>
          </cell>
          <cell r="AE64">
            <v>0.8</v>
          </cell>
          <cell r="AF64">
            <v>0.8</v>
          </cell>
          <cell r="DZ64">
            <v>59</v>
          </cell>
          <cell r="EA64">
            <v>0</v>
          </cell>
          <cell r="EB64">
            <v>0</v>
          </cell>
          <cell r="ED64">
            <v>58</v>
          </cell>
          <cell r="EE64">
            <v>0</v>
          </cell>
          <cell r="EF64"/>
          <cell r="EG64">
            <v>0</v>
          </cell>
          <cell r="EH64"/>
          <cell r="EI64">
            <v>0</v>
          </cell>
          <cell r="EJ64"/>
          <cell r="EK64"/>
          <cell r="EL64"/>
          <cell r="EM64"/>
          <cell r="EN64"/>
          <cell r="EP64">
            <v>59</v>
          </cell>
          <cell r="EQ64"/>
          <cell r="ER64"/>
          <cell r="ES64"/>
          <cell r="ET64"/>
          <cell r="EU64"/>
          <cell r="EV64"/>
          <cell r="EW64"/>
          <cell r="EX64"/>
          <cell r="EY64"/>
          <cell r="EZ64"/>
          <cell r="FA64"/>
          <cell r="FB64"/>
          <cell r="FC64"/>
          <cell r="FD64"/>
          <cell r="FE64"/>
          <cell r="FF64"/>
          <cell r="FG64"/>
          <cell r="FH64"/>
          <cell r="FI64"/>
          <cell r="FJ64">
            <v>0</v>
          </cell>
          <cell r="FK64">
            <v>0</v>
          </cell>
          <cell r="FL64"/>
          <cell r="FM64"/>
          <cell r="FN64"/>
          <cell r="FO64"/>
          <cell r="FP64"/>
          <cell r="FQ64"/>
          <cell r="FR64">
            <v>0</v>
          </cell>
          <cell r="FS64">
            <v>0</v>
          </cell>
          <cell r="FU64">
            <v>59</v>
          </cell>
          <cell r="FV64">
            <v>0</v>
          </cell>
          <cell r="FW64">
            <v>1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K64">
            <v>59</v>
          </cell>
          <cell r="GL64">
            <v>3.0000000000000001E-3</v>
          </cell>
          <cell r="GM64">
            <v>0.04</v>
          </cell>
          <cell r="GN64"/>
        </row>
        <row r="65">
          <cell r="AD65">
            <v>59</v>
          </cell>
          <cell r="AE65">
            <v>0.8</v>
          </cell>
          <cell r="AF65">
            <v>0.8</v>
          </cell>
          <cell r="DZ65">
            <v>60</v>
          </cell>
          <cell r="EA65">
            <v>0</v>
          </cell>
          <cell r="EB65">
            <v>0</v>
          </cell>
          <cell r="ED65">
            <v>59</v>
          </cell>
          <cell r="EE65">
            <v>0</v>
          </cell>
          <cell r="EF65"/>
          <cell r="EG65">
            <v>0</v>
          </cell>
          <cell r="EH65"/>
          <cell r="EI65">
            <v>0</v>
          </cell>
          <cell r="EJ65"/>
          <cell r="EK65"/>
          <cell r="EL65"/>
          <cell r="EM65"/>
          <cell r="EN65"/>
          <cell r="EP65">
            <v>60</v>
          </cell>
          <cell r="EQ65"/>
          <cell r="ER65"/>
          <cell r="ES65"/>
          <cell r="ET65"/>
          <cell r="EU65"/>
          <cell r="EV65"/>
          <cell r="EW65"/>
          <cell r="EX65"/>
          <cell r="EY65"/>
          <cell r="EZ65"/>
          <cell r="FA65"/>
          <cell r="FB65"/>
          <cell r="FC65"/>
          <cell r="FD65"/>
          <cell r="FE65"/>
          <cell r="FF65"/>
          <cell r="FG65"/>
          <cell r="FH65"/>
          <cell r="FI65"/>
          <cell r="FJ65">
            <v>0</v>
          </cell>
          <cell r="FK65">
            <v>0</v>
          </cell>
          <cell r="FL65"/>
          <cell r="FM65"/>
          <cell r="FN65"/>
          <cell r="FO65"/>
          <cell r="FP65"/>
          <cell r="FQ65"/>
          <cell r="FR65">
            <v>0</v>
          </cell>
          <cell r="FS65">
            <v>0</v>
          </cell>
          <cell r="FU65">
            <v>60</v>
          </cell>
          <cell r="FV65">
            <v>0</v>
          </cell>
          <cell r="FW65">
            <v>1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K65">
            <v>60</v>
          </cell>
          <cell r="GL65">
            <v>3.0000000000000001E-3</v>
          </cell>
          <cell r="GM65">
            <v>0.04</v>
          </cell>
          <cell r="GN65"/>
        </row>
        <row r="66">
          <cell r="AD66">
            <v>60</v>
          </cell>
          <cell r="AE66">
            <v>0.8</v>
          </cell>
          <cell r="AF66">
            <v>0.8</v>
          </cell>
          <cell r="DZ66">
            <v>61</v>
          </cell>
          <cell r="EA66">
            <v>0</v>
          </cell>
          <cell r="EB66">
            <v>0</v>
          </cell>
          <cell r="ED66">
            <v>60</v>
          </cell>
          <cell r="EE66">
            <v>0</v>
          </cell>
          <cell r="EF66"/>
          <cell r="EG66">
            <v>0</v>
          </cell>
          <cell r="EH66"/>
          <cell r="EI66">
            <v>0</v>
          </cell>
          <cell r="EJ66"/>
          <cell r="EK66"/>
          <cell r="EL66"/>
          <cell r="EM66"/>
          <cell r="EN66"/>
          <cell r="EP66">
            <v>61</v>
          </cell>
          <cell r="EQ66"/>
          <cell r="ER66"/>
          <cell r="ES66"/>
          <cell r="ET66"/>
          <cell r="EU66"/>
          <cell r="EV66"/>
          <cell r="EW66"/>
          <cell r="EX66"/>
          <cell r="EY66"/>
          <cell r="EZ66"/>
          <cell r="FA66"/>
          <cell r="FB66"/>
          <cell r="FC66"/>
          <cell r="FD66"/>
          <cell r="FE66"/>
          <cell r="FF66"/>
          <cell r="FG66"/>
          <cell r="FH66"/>
          <cell r="FI66"/>
          <cell r="FJ66">
            <v>0</v>
          </cell>
          <cell r="FK66">
            <v>0</v>
          </cell>
          <cell r="FL66"/>
          <cell r="FM66"/>
          <cell r="FN66"/>
          <cell r="FO66"/>
          <cell r="FP66"/>
          <cell r="FQ66"/>
          <cell r="FR66">
            <v>0</v>
          </cell>
          <cell r="FS66">
            <v>0</v>
          </cell>
          <cell r="FU66">
            <v>61</v>
          </cell>
          <cell r="FV66">
            <v>0</v>
          </cell>
          <cell r="FW66">
            <v>1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1</v>
          </cell>
          <cell r="GK66">
            <v>61</v>
          </cell>
          <cell r="GL66">
            <v>3.0000000000000001E-3</v>
          </cell>
          <cell r="GM66">
            <v>0.04</v>
          </cell>
          <cell r="GN66"/>
        </row>
        <row r="67">
          <cell r="AD67">
            <v>61</v>
          </cell>
          <cell r="AE67">
            <v>0.8</v>
          </cell>
          <cell r="AF67">
            <v>0.8</v>
          </cell>
          <cell r="DZ67">
            <v>62</v>
          </cell>
          <cell r="EA67">
            <v>0</v>
          </cell>
          <cell r="EB67">
            <v>0</v>
          </cell>
          <cell r="ED67">
            <v>61</v>
          </cell>
          <cell r="EE67">
            <v>0</v>
          </cell>
          <cell r="EF67"/>
          <cell r="EG67">
            <v>0</v>
          </cell>
          <cell r="EH67"/>
          <cell r="EI67">
            <v>0</v>
          </cell>
          <cell r="EJ67"/>
          <cell r="EK67"/>
          <cell r="EL67"/>
          <cell r="EM67"/>
          <cell r="EN67"/>
          <cell r="EP67">
            <v>62</v>
          </cell>
          <cell r="EQ67"/>
          <cell r="ER67"/>
          <cell r="ES67"/>
          <cell r="ET67"/>
          <cell r="EU67"/>
          <cell r="EV67"/>
          <cell r="EW67"/>
          <cell r="EX67"/>
          <cell r="EY67"/>
          <cell r="EZ67"/>
          <cell r="FA67"/>
          <cell r="FB67"/>
          <cell r="FC67"/>
          <cell r="FD67"/>
          <cell r="FE67"/>
          <cell r="FF67"/>
          <cell r="FG67"/>
          <cell r="FH67"/>
          <cell r="FI67"/>
          <cell r="FJ67">
            <v>0</v>
          </cell>
          <cell r="FK67">
            <v>0</v>
          </cell>
          <cell r="FL67"/>
          <cell r="FM67"/>
          <cell r="FN67"/>
          <cell r="FO67"/>
          <cell r="FP67"/>
          <cell r="FQ67"/>
          <cell r="FR67">
            <v>0</v>
          </cell>
          <cell r="FS67">
            <v>0</v>
          </cell>
          <cell r="FU67">
            <v>62</v>
          </cell>
          <cell r="FV67">
            <v>0</v>
          </cell>
          <cell r="FW67">
            <v>1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K67">
            <v>62</v>
          </cell>
          <cell r="GL67">
            <v>3.0000000000000001E-3</v>
          </cell>
          <cell r="GM67">
            <v>0.04</v>
          </cell>
          <cell r="GN67"/>
        </row>
        <row r="68">
          <cell r="AD68">
            <v>62</v>
          </cell>
          <cell r="AE68">
            <v>0.8</v>
          </cell>
          <cell r="AF68">
            <v>0.8</v>
          </cell>
          <cell r="DZ68">
            <v>63</v>
          </cell>
          <cell r="EA68">
            <v>0</v>
          </cell>
          <cell r="EB68">
            <v>0</v>
          </cell>
          <cell r="ED68">
            <v>62</v>
          </cell>
          <cell r="EE68">
            <v>0</v>
          </cell>
          <cell r="EF68"/>
          <cell r="EG68">
            <v>0</v>
          </cell>
          <cell r="EH68"/>
          <cell r="EI68">
            <v>0</v>
          </cell>
          <cell r="EJ68"/>
          <cell r="EK68"/>
          <cell r="EL68"/>
          <cell r="EM68"/>
          <cell r="EN68"/>
          <cell r="EP68">
            <v>63</v>
          </cell>
          <cell r="EQ68"/>
          <cell r="ER68"/>
          <cell r="ES68"/>
          <cell r="ET68"/>
          <cell r="EU68"/>
          <cell r="EV68"/>
          <cell r="EW68"/>
          <cell r="EX68"/>
          <cell r="EY68"/>
          <cell r="EZ68"/>
          <cell r="FA68"/>
          <cell r="FB68"/>
          <cell r="FC68"/>
          <cell r="FD68"/>
          <cell r="FE68"/>
          <cell r="FF68"/>
          <cell r="FG68"/>
          <cell r="FH68"/>
          <cell r="FI68"/>
          <cell r="FJ68">
            <v>0</v>
          </cell>
          <cell r="FK68">
            <v>0</v>
          </cell>
          <cell r="FL68"/>
          <cell r="FM68"/>
          <cell r="FN68"/>
          <cell r="FO68"/>
          <cell r="FP68"/>
          <cell r="FQ68"/>
          <cell r="FR68">
            <v>0</v>
          </cell>
          <cell r="FS68">
            <v>0</v>
          </cell>
          <cell r="FU68">
            <v>63</v>
          </cell>
          <cell r="FV68">
            <v>0</v>
          </cell>
          <cell r="FW68">
            <v>1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K68">
            <v>63</v>
          </cell>
          <cell r="GL68">
            <v>3.0000000000000001E-3</v>
          </cell>
          <cell r="GM68">
            <v>0.04</v>
          </cell>
          <cell r="GN68"/>
        </row>
        <row r="69">
          <cell r="AD69">
            <v>63</v>
          </cell>
          <cell r="AE69">
            <v>0.8</v>
          </cell>
          <cell r="AF69">
            <v>0.8</v>
          </cell>
          <cell r="DZ69">
            <v>64</v>
          </cell>
          <cell r="EA69">
            <v>0</v>
          </cell>
          <cell r="EB69">
            <v>0</v>
          </cell>
          <cell r="ED69">
            <v>63</v>
          </cell>
          <cell r="EE69">
            <v>0</v>
          </cell>
          <cell r="EF69"/>
          <cell r="EG69">
            <v>0</v>
          </cell>
          <cell r="EH69"/>
          <cell r="EI69">
            <v>0</v>
          </cell>
          <cell r="EJ69"/>
          <cell r="EK69"/>
          <cell r="EL69"/>
          <cell r="EM69"/>
          <cell r="EN69"/>
          <cell r="EP69">
            <v>64</v>
          </cell>
          <cell r="EQ69"/>
          <cell r="ER69"/>
          <cell r="ES69"/>
          <cell r="ET69"/>
          <cell r="EU69"/>
          <cell r="EV69"/>
          <cell r="EW69"/>
          <cell r="EX69"/>
          <cell r="EY69"/>
          <cell r="EZ69"/>
          <cell r="FA69"/>
          <cell r="FB69"/>
          <cell r="FC69"/>
          <cell r="FD69"/>
          <cell r="FE69"/>
          <cell r="FF69"/>
          <cell r="FG69"/>
          <cell r="FH69"/>
          <cell r="FI69"/>
          <cell r="FJ69">
            <v>0</v>
          </cell>
          <cell r="FK69">
            <v>0</v>
          </cell>
          <cell r="FL69"/>
          <cell r="FM69"/>
          <cell r="FN69"/>
          <cell r="FO69"/>
          <cell r="FP69"/>
          <cell r="FQ69"/>
          <cell r="FR69">
            <v>0</v>
          </cell>
          <cell r="FS69">
            <v>0</v>
          </cell>
          <cell r="FU69">
            <v>64</v>
          </cell>
          <cell r="FV69">
            <v>0</v>
          </cell>
          <cell r="FW69">
            <v>1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K69">
            <v>64</v>
          </cell>
          <cell r="GL69">
            <v>3.0000000000000001E-3</v>
          </cell>
          <cell r="GM69">
            <v>0.04</v>
          </cell>
          <cell r="GN69"/>
        </row>
        <row r="70">
          <cell r="AD70">
            <v>64</v>
          </cell>
          <cell r="AE70">
            <v>0.8</v>
          </cell>
          <cell r="AF70">
            <v>0.8</v>
          </cell>
          <cell r="DZ70">
            <v>65</v>
          </cell>
          <cell r="EA70">
            <v>0</v>
          </cell>
          <cell r="EB70">
            <v>0</v>
          </cell>
          <cell r="ED70">
            <v>64</v>
          </cell>
          <cell r="EE70">
            <v>0</v>
          </cell>
          <cell r="EF70"/>
          <cell r="EG70">
            <v>0</v>
          </cell>
          <cell r="EH70"/>
          <cell r="EI70">
            <v>0</v>
          </cell>
          <cell r="EJ70"/>
          <cell r="EK70"/>
          <cell r="EL70"/>
          <cell r="EM70"/>
          <cell r="EN70"/>
          <cell r="EP70">
            <v>65</v>
          </cell>
          <cell r="EQ70"/>
          <cell r="ER70"/>
          <cell r="ES70"/>
          <cell r="ET70"/>
          <cell r="EU70"/>
          <cell r="EV70"/>
          <cell r="EW70"/>
          <cell r="EX70"/>
          <cell r="EY70"/>
          <cell r="EZ70"/>
          <cell r="FA70"/>
          <cell r="FB70"/>
          <cell r="FC70"/>
          <cell r="FD70"/>
          <cell r="FE70"/>
          <cell r="FF70"/>
          <cell r="FG70"/>
          <cell r="FH70"/>
          <cell r="FI70"/>
          <cell r="FJ70">
            <v>0</v>
          </cell>
          <cell r="FK70">
            <v>0</v>
          </cell>
          <cell r="FL70"/>
          <cell r="FM70"/>
          <cell r="FN70"/>
          <cell r="FO70"/>
          <cell r="FP70"/>
          <cell r="FQ70"/>
          <cell r="FR70">
            <v>0</v>
          </cell>
          <cell r="FS70">
            <v>0</v>
          </cell>
          <cell r="FU70">
            <v>65</v>
          </cell>
          <cell r="FV70">
            <v>0</v>
          </cell>
          <cell r="FW70">
            <v>1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K70">
            <v>65</v>
          </cell>
          <cell r="GL70">
            <v>3.0000000000000001E-3</v>
          </cell>
          <cell r="GM70">
            <v>0.04</v>
          </cell>
          <cell r="GN70"/>
        </row>
        <row r="71">
          <cell r="AD71">
            <v>65</v>
          </cell>
          <cell r="AE71">
            <v>0.8</v>
          </cell>
          <cell r="AF71">
            <v>0.8</v>
          </cell>
          <cell r="DZ71">
            <v>66</v>
          </cell>
          <cell r="EA71">
            <v>0</v>
          </cell>
          <cell r="EB71">
            <v>0</v>
          </cell>
          <cell r="ED71">
            <v>65</v>
          </cell>
          <cell r="EE71">
            <v>0</v>
          </cell>
          <cell r="EF71"/>
          <cell r="EG71">
            <v>0</v>
          </cell>
          <cell r="EH71"/>
          <cell r="EI71">
            <v>0</v>
          </cell>
          <cell r="EJ71"/>
          <cell r="EK71"/>
          <cell r="EL71"/>
          <cell r="EM71"/>
          <cell r="EN71"/>
          <cell r="EP71">
            <v>66</v>
          </cell>
          <cell r="EQ71"/>
          <cell r="ER71"/>
          <cell r="ES71"/>
          <cell r="ET71"/>
          <cell r="EU71"/>
          <cell r="EV71"/>
          <cell r="EW71"/>
          <cell r="EX71"/>
          <cell r="EY71"/>
          <cell r="EZ71"/>
          <cell r="FA71"/>
          <cell r="FB71"/>
          <cell r="FC71"/>
          <cell r="FD71"/>
          <cell r="FE71"/>
          <cell r="FF71"/>
          <cell r="FG71"/>
          <cell r="FH71"/>
          <cell r="FI71"/>
          <cell r="FJ71">
            <v>0</v>
          </cell>
          <cell r="FK71">
            <v>0</v>
          </cell>
          <cell r="FL71"/>
          <cell r="FM71"/>
          <cell r="FN71"/>
          <cell r="FO71"/>
          <cell r="FP71"/>
          <cell r="FQ71"/>
          <cell r="FR71">
            <v>0</v>
          </cell>
          <cell r="FS71">
            <v>0</v>
          </cell>
          <cell r="FU71">
            <v>66</v>
          </cell>
          <cell r="FV71">
            <v>0</v>
          </cell>
          <cell r="FW71">
            <v>1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K71">
            <v>66</v>
          </cell>
          <cell r="GL71">
            <v>3.0000000000000001E-3</v>
          </cell>
          <cell r="GM71">
            <v>0.04</v>
          </cell>
          <cell r="GN71"/>
        </row>
        <row r="72">
          <cell r="AD72">
            <v>66</v>
          </cell>
          <cell r="AE72">
            <v>0.8</v>
          </cell>
          <cell r="AF72">
            <v>0.8</v>
          </cell>
          <cell r="DZ72">
            <v>67</v>
          </cell>
          <cell r="EA72">
            <v>0</v>
          </cell>
          <cell r="EB72">
            <v>0</v>
          </cell>
          <cell r="ED72">
            <v>66</v>
          </cell>
          <cell r="EE72">
            <v>0</v>
          </cell>
          <cell r="EF72"/>
          <cell r="EG72">
            <v>0</v>
          </cell>
          <cell r="EH72"/>
          <cell r="EI72">
            <v>0</v>
          </cell>
          <cell r="EJ72"/>
          <cell r="EK72"/>
          <cell r="EL72"/>
          <cell r="EM72"/>
          <cell r="EN72"/>
          <cell r="EP72">
            <v>67</v>
          </cell>
          <cell r="EQ72"/>
          <cell r="ER72"/>
          <cell r="ES72"/>
          <cell r="ET72"/>
          <cell r="EU72"/>
          <cell r="EV72"/>
          <cell r="EW72"/>
          <cell r="EX72"/>
          <cell r="EY72"/>
          <cell r="EZ72"/>
          <cell r="FA72"/>
          <cell r="FB72"/>
          <cell r="FC72"/>
          <cell r="FD72"/>
          <cell r="FE72"/>
          <cell r="FF72"/>
          <cell r="FG72"/>
          <cell r="FH72"/>
          <cell r="FI72"/>
          <cell r="FJ72">
            <v>0</v>
          </cell>
          <cell r="FK72">
            <v>0</v>
          </cell>
          <cell r="FL72"/>
          <cell r="FM72"/>
          <cell r="FN72"/>
          <cell r="FO72"/>
          <cell r="FP72"/>
          <cell r="FQ72"/>
          <cell r="FR72">
            <v>0</v>
          </cell>
          <cell r="FS72">
            <v>0</v>
          </cell>
          <cell r="FU72">
            <v>67</v>
          </cell>
          <cell r="FV72">
            <v>0</v>
          </cell>
          <cell r="FW72">
            <v>1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K72">
            <v>67</v>
          </cell>
          <cell r="GL72">
            <v>3.0000000000000001E-3</v>
          </cell>
          <cell r="GM72">
            <v>0.04</v>
          </cell>
          <cell r="GN72"/>
        </row>
        <row r="73">
          <cell r="AD73">
            <v>67</v>
          </cell>
          <cell r="AE73">
            <v>0.8</v>
          </cell>
          <cell r="AF73">
            <v>0.8</v>
          </cell>
          <cell r="DZ73">
            <v>68</v>
          </cell>
          <cell r="EA73">
            <v>0</v>
          </cell>
          <cell r="EB73">
            <v>0</v>
          </cell>
          <cell r="ED73">
            <v>67</v>
          </cell>
          <cell r="EE73">
            <v>0</v>
          </cell>
          <cell r="EF73"/>
          <cell r="EG73">
            <v>0</v>
          </cell>
          <cell r="EH73"/>
          <cell r="EI73">
            <v>0</v>
          </cell>
          <cell r="EJ73"/>
          <cell r="EK73"/>
          <cell r="EL73"/>
          <cell r="EM73"/>
          <cell r="EN73"/>
          <cell r="EP73">
            <v>68</v>
          </cell>
          <cell r="EQ73"/>
          <cell r="ER73"/>
          <cell r="ES73"/>
          <cell r="ET73"/>
          <cell r="EU73"/>
          <cell r="EV73"/>
          <cell r="EW73"/>
          <cell r="EX73"/>
          <cell r="EY73"/>
          <cell r="EZ73"/>
          <cell r="FA73"/>
          <cell r="FB73"/>
          <cell r="FC73"/>
          <cell r="FD73"/>
          <cell r="FE73"/>
          <cell r="FF73"/>
          <cell r="FG73"/>
          <cell r="FH73"/>
          <cell r="FI73"/>
          <cell r="FJ73">
            <v>0</v>
          </cell>
          <cell r="FK73">
            <v>0</v>
          </cell>
          <cell r="FL73"/>
          <cell r="FM73"/>
          <cell r="FN73"/>
          <cell r="FO73"/>
          <cell r="FP73"/>
          <cell r="FQ73"/>
          <cell r="FR73">
            <v>0</v>
          </cell>
          <cell r="FS73">
            <v>0</v>
          </cell>
          <cell r="FU73">
            <v>68</v>
          </cell>
          <cell r="FV73">
            <v>0</v>
          </cell>
          <cell r="FW73">
            <v>1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K73">
            <v>68</v>
          </cell>
          <cell r="GL73">
            <v>3.0000000000000001E-3</v>
          </cell>
          <cell r="GM73">
            <v>0.04</v>
          </cell>
          <cell r="GN73"/>
        </row>
        <row r="74">
          <cell r="AD74">
            <v>68</v>
          </cell>
          <cell r="AE74">
            <v>0.8</v>
          </cell>
          <cell r="AF74">
            <v>0.8</v>
          </cell>
          <cell r="DZ74">
            <v>69</v>
          </cell>
          <cell r="EA74">
            <v>0</v>
          </cell>
          <cell r="EB74">
            <v>0</v>
          </cell>
          <cell r="ED74">
            <v>68</v>
          </cell>
          <cell r="EE74">
            <v>0</v>
          </cell>
          <cell r="EF74"/>
          <cell r="EG74">
            <v>0</v>
          </cell>
          <cell r="EH74"/>
          <cell r="EI74">
            <v>0</v>
          </cell>
          <cell r="EJ74"/>
          <cell r="EK74"/>
          <cell r="EL74"/>
          <cell r="EM74"/>
          <cell r="EN74"/>
          <cell r="EP74">
            <v>69</v>
          </cell>
          <cell r="EQ74"/>
          <cell r="ER74"/>
          <cell r="ES74"/>
          <cell r="ET74"/>
          <cell r="EU74"/>
          <cell r="EV74"/>
          <cell r="EW74"/>
          <cell r="EX74"/>
          <cell r="EY74"/>
          <cell r="EZ74"/>
          <cell r="FA74"/>
          <cell r="FB74"/>
          <cell r="FC74"/>
          <cell r="FD74"/>
          <cell r="FE74"/>
          <cell r="FF74"/>
          <cell r="FG74"/>
          <cell r="FH74"/>
          <cell r="FI74"/>
          <cell r="FJ74">
            <v>0</v>
          </cell>
          <cell r="FK74">
            <v>0</v>
          </cell>
          <cell r="FL74"/>
          <cell r="FM74"/>
          <cell r="FN74"/>
          <cell r="FO74"/>
          <cell r="FP74"/>
          <cell r="FQ74"/>
          <cell r="FR74">
            <v>0</v>
          </cell>
          <cell r="FS74">
            <v>0</v>
          </cell>
          <cell r="FU74">
            <v>69</v>
          </cell>
          <cell r="FV74">
            <v>0</v>
          </cell>
          <cell r="FW74">
            <v>1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K74">
            <v>69</v>
          </cell>
          <cell r="GL74">
            <v>3.0000000000000001E-3</v>
          </cell>
          <cell r="GM74">
            <v>0.04</v>
          </cell>
          <cell r="GN74"/>
        </row>
        <row r="75">
          <cell r="AD75">
            <v>69</v>
          </cell>
          <cell r="AE75">
            <v>0.8</v>
          </cell>
          <cell r="AF75">
            <v>0.8</v>
          </cell>
          <cell r="DZ75">
            <v>70</v>
          </cell>
          <cell r="EA75">
            <v>0</v>
          </cell>
          <cell r="EB75">
            <v>0</v>
          </cell>
          <cell r="ED75">
            <v>69</v>
          </cell>
          <cell r="EE75">
            <v>0</v>
          </cell>
          <cell r="EF75"/>
          <cell r="EG75">
            <v>0</v>
          </cell>
          <cell r="EH75"/>
          <cell r="EI75">
            <v>0</v>
          </cell>
          <cell r="EJ75"/>
          <cell r="EK75"/>
          <cell r="EL75"/>
          <cell r="EM75"/>
          <cell r="EN75"/>
          <cell r="EP75">
            <v>70</v>
          </cell>
          <cell r="EQ75"/>
          <cell r="ER75"/>
          <cell r="ES75"/>
          <cell r="ET75"/>
          <cell r="EU75"/>
          <cell r="EV75"/>
          <cell r="EW75"/>
          <cell r="EX75"/>
          <cell r="EY75"/>
          <cell r="EZ75"/>
          <cell r="FA75"/>
          <cell r="FB75"/>
          <cell r="FC75"/>
          <cell r="FD75"/>
          <cell r="FE75"/>
          <cell r="FF75"/>
          <cell r="FG75"/>
          <cell r="FH75"/>
          <cell r="FI75"/>
          <cell r="FJ75">
            <v>0</v>
          </cell>
          <cell r="FK75">
            <v>0</v>
          </cell>
          <cell r="FL75"/>
          <cell r="FM75"/>
          <cell r="FN75"/>
          <cell r="FO75"/>
          <cell r="FP75"/>
          <cell r="FQ75"/>
          <cell r="FR75">
            <v>0</v>
          </cell>
          <cell r="FS75">
            <v>0</v>
          </cell>
          <cell r="FU75">
            <v>70</v>
          </cell>
          <cell r="FV75">
            <v>0</v>
          </cell>
          <cell r="FW75">
            <v>1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K75">
            <v>70</v>
          </cell>
          <cell r="GL75">
            <v>3.0000000000000001E-3</v>
          </cell>
          <cell r="GM75">
            <v>0.04</v>
          </cell>
          <cell r="GN75"/>
        </row>
        <row r="76">
          <cell r="AD76">
            <v>70</v>
          </cell>
          <cell r="AE76">
            <v>0.8</v>
          </cell>
          <cell r="AF76">
            <v>0.8</v>
          </cell>
          <cell r="DZ76">
            <v>71</v>
          </cell>
          <cell r="EA76">
            <v>0</v>
          </cell>
          <cell r="EB76">
            <v>0</v>
          </cell>
          <cell r="ED76">
            <v>70</v>
          </cell>
          <cell r="EE76">
            <v>0</v>
          </cell>
          <cell r="EF76"/>
          <cell r="EG76">
            <v>0</v>
          </cell>
          <cell r="EH76"/>
          <cell r="EI76">
            <v>0</v>
          </cell>
          <cell r="EJ76"/>
          <cell r="EK76"/>
          <cell r="EL76"/>
          <cell r="EM76"/>
          <cell r="EN76"/>
          <cell r="EP76">
            <v>71</v>
          </cell>
          <cell r="EQ76"/>
          <cell r="ER76"/>
          <cell r="ES76"/>
          <cell r="ET76"/>
          <cell r="EU76"/>
          <cell r="EV76"/>
          <cell r="EW76"/>
          <cell r="EX76"/>
          <cell r="EY76"/>
          <cell r="EZ76"/>
          <cell r="FA76"/>
          <cell r="FB76"/>
          <cell r="FC76"/>
          <cell r="FD76"/>
          <cell r="FE76"/>
          <cell r="FF76"/>
          <cell r="FG76"/>
          <cell r="FH76"/>
          <cell r="FI76"/>
          <cell r="FJ76">
            <v>0</v>
          </cell>
          <cell r="FK76">
            <v>0</v>
          </cell>
          <cell r="FL76"/>
          <cell r="FM76"/>
          <cell r="FN76"/>
          <cell r="FO76"/>
          <cell r="FP76"/>
          <cell r="FQ76"/>
          <cell r="FR76">
            <v>0</v>
          </cell>
          <cell r="FS76">
            <v>0</v>
          </cell>
          <cell r="FU76">
            <v>71</v>
          </cell>
          <cell r="FV76">
            <v>0</v>
          </cell>
          <cell r="FW76">
            <v>1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K76">
            <v>71</v>
          </cell>
          <cell r="GL76">
            <v>3.0000000000000001E-3</v>
          </cell>
          <cell r="GM76">
            <v>0.04</v>
          </cell>
          <cell r="GN76"/>
        </row>
        <row r="77">
          <cell r="AD77">
            <v>71</v>
          </cell>
          <cell r="AE77">
            <v>0.8</v>
          </cell>
          <cell r="AF77">
            <v>0.8</v>
          </cell>
          <cell r="DZ77">
            <v>72</v>
          </cell>
          <cell r="EA77">
            <v>0</v>
          </cell>
          <cell r="EB77">
            <v>0</v>
          </cell>
          <cell r="ED77">
            <v>71</v>
          </cell>
          <cell r="EE77">
            <v>0</v>
          </cell>
          <cell r="EF77"/>
          <cell r="EG77">
            <v>0</v>
          </cell>
          <cell r="EH77"/>
          <cell r="EI77">
            <v>0</v>
          </cell>
          <cell r="EJ77"/>
          <cell r="EK77"/>
          <cell r="EL77"/>
          <cell r="EM77"/>
          <cell r="EN77"/>
          <cell r="EP77">
            <v>72</v>
          </cell>
          <cell r="EQ77"/>
          <cell r="ER77"/>
          <cell r="ES77"/>
          <cell r="ET77"/>
          <cell r="EU77"/>
          <cell r="EV77"/>
          <cell r="EW77"/>
          <cell r="EX77"/>
          <cell r="EY77"/>
          <cell r="EZ77"/>
          <cell r="FA77"/>
          <cell r="FB77"/>
          <cell r="FC77"/>
          <cell r="FD77"/>
          <cell r="FE77"/>
          <cell r="FF77"/>
          <cell r="FG77"/>
          <cell r="FH77"/>
          <cell r="FI77"/>
          <cell r="FJ77">
            <v>0</v>
          </cell>
          <cell r="FK77">
            <v>0</v>
          </cell>
          <cell r="FL77"/>
          <cell r="FM77"/>
          <cell r="FN77"/>
          <cell r="FO77"/>
          <cell r="FP77"/>
          <cell r="FQ77"/>
          <cell r="FR77">
            <v>0</v>
          </cell>
          <cell r="FS77">
            <v>0</v>
          </cell>
          <cell r="FU77">
            <v>72</v>
          </cell>
          <cell r="FV77">
            <v>0</v>
          </cell>
          <cell r="FW77">
            <v>1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K77">
            <v>72</v>
          </cell>
          <cell r="GL77">
            <v>3.0000000000000001E-3</v>
          </cell>
          <cell r="GM77">
            <v>0.04</v>
          </cell>
          <cell r="GN77"/>
        </row>
        <row r="78">
          <cell r="AD78">
            <v>72</v>
          </cell>
          <cell r="AE78">
            <v>0.8</v>
          </cell>
          <cell r="AF78">
            <v>0.8</v>
          </cell>
          <cell r="DZ78">
            <v>73</v>
          </cell>
          <cell r="EA78">
            <v>0</v>
          </cell>
          <cell r="EB78">
            <v>0</v>
          </cell>
          <cell r="ED78">
            <v>72</v>
          </cell>
          <cell r="EE78">
            <v>0</v>
          </cell>
          <cell r="EF78"/>
          <cell r="EG78">
            <v>0</v>
          </cell>
          <cell r="EH78"/>
          <cell r="EI78">
            <v>0</v>
          </cell>
          <cell r="EJ78"/>
          <cell r="EK78"/>
          <cell r="EL78"/>
          <cell r="EM78"/>
          <cell r="EN78"/>
          <cell r="EP78">
            <v>73</v>
          </cell>
          <cell r="EQ78"/>
          <cell r="ER78"/>
          <cell r="ES78"/>
          <cell r="ET78"/>
          <cell r="EU78"/>
          <cell r="EV78"/>
          <cell r="EW78"/>
          <cell r="EX78"/>
          <cell r="EY78"/>
          <cell r="EZ78"/>
          <cell r="FA78"/>
          <cell r="FB78"/>
          <cell r="FC78"/>
          <cell r="FD78"/>
          <cell r="FE78"/>
          <cell r="FF78"/>
          <cell r="FG78"/>
          <cell r="FH78"/>
          <cell r="FI78"/>
          <cell r="FJ78">
            <v>0</v>
          </cell>
          <cell r="FK78">
            <v>0</v>
          </cell>
          <cell r="FL78"/>
          <cell r="FM78"/>
          <cell r="FN78"/>
          <cell r="FO78"/>
          <cell r="FP78"/>
          <cell r="FQ78"/>
          <cell r="FR78">
            <v>0</v>
          </cell>
          <cell r="FS78">
            <v>0</v>
          </cell>
          <cell r="FU78">
            <v>73</v>
          </cell>
          <cell r="FV78">
            <v>0</v>
          </cell>
          <cell r="FW78">
            <v>1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1</v>
          </cell>
          <cell r="GK78">
            <v>73</v>
          </cell>
          <cell r="GL78">
            <v>3.0000000000000001E-3</v>
          </cell>
          <cell r="GM78">
            <v>0.04</v>
          </cell>
          <cell r="GN78"/>
        </row>
        <row r="79">
          <cell r="AD79">
            <v>73</v>
          </cell>
          <cell r="AE79">
            <v>0.8</v>
          </cell>
          <cell r="AF79">
            <v>0.8</v>
          </cell>
          <cell r="DZ79">
            <v>74</v>
          </cell>
          <cell r="EA79">
            <v>0</v>
          </cell>
          <cell r="EB79">
            <v>0</v>
          </cell>
          <cell r="ED79">
            <v>73</v>
          </cell>
          <cell r="EE79">
            <v>0</v>
          </cell>
          <cell r="EF79"/>
          <cell r="EG79">
            <v>0</v>
          </cell>
          <cell r="EH79"/>
          <cell r="EI79">
            <v>0</v>
          </cell>
          <cell r="EJ79"/>
          <cell r="EK79"/>
          <cell r="EL79"/>
          <cell r="EM79"/>
          <cell r="EN79"/>
          <cell r="EP79">
            <v>74</v>
          </cell>
          <cell r="EQ79"/>
          <cell r="ER79"/>
          <cell r="ES79"/>
          <cell r="ET79"/>
          <cell r="EU79"/>
          <cell r="EV79"/>
          <cell r="EW79"/>
          <cell r="EX79"/>
          <cell r="EY79"/>
          <cell r="EZ79"/>
          <cell r="FA79"/>
          <cell r="FB79"/>
          <cell r="FC79"/>
          <cell r="FD79"/>
          <cell r="FE79"/>
          <cell r="FF79"/>
          <cell r="FG79"/>
          <cell r="FH79"/>
          <cell r="FI79"/>
          <cell r="FJ79">
            <v>0</v>
          </cell>
          <cell r="FK79">
            <v>0</v>
          </cell>
          <cell r="FL79"/>
          <cell r="FM79"/>
          <cell r="FN79"/>
          <cell r="FO79"/>
          <cell r="FP79"/>
          <cell r="FQ79"/>
          <cell r="FR79">
            <v>0</v>
          </cell>
          <cell r="FS79">
            <v>0</v>
          </cell>
          <cell r="FU79">
            <v>74</v>
          </cell>
          <cell r="FV79">
            <v>0</v>
          </cell>
          <cell r="FW79">
            <v>1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K79">
            <v>74</v>
          </cell>
          <cell r="GL79">
            <v>3.0000000000000001E-3</v>
          </cell>
          <cell r="GM79">
            <v>0.04</v>
          </cell>
          <cell r="GN79"/>
        </row>
        <row r="80">
          <cell r="AD80">
            <v>74</v>
          </cell>
          <cell r="AE80">
            <v>0.8</v>
          </cell>
          <cell r="AF80">
            <v>0.8</v>
          </cell>
          <cell r="DZ80">
            <v>75</v>
          </cell>
          <cell r="EA80">
            <v>0</v>
          </cell>
          <cell r="EB80">
            <v>0</v>
          </cell>
          <cell r="ED80">
            <v>74</v>
          </cell>
          <cell r="EE80">
            <v>0</v>
          </cell>
          <cell r="EF80"/>
          <cell r="EG80">
            <v>0</v>
          </cell>
          <cell r="EH80"/>
          <cell r="EI80">
            <v>0</v>
          </cell>
          <cell r="EJ80"/>
          <cell r="EK80"/>
          <cell r="EL80"/>
          <cell r="EM80"/>
          <cell r="EN80"/>
          <cell r="EP80">
            <v>75</v>
          </cell>
          <cell r="EQ80"/>
          <cell r="ER80"/>
          <cell r="ES80"/>
          <cell r="ET80"/>
          <cell r="EU80"/>
          <cell r="EV80"/>
          <cell r="EW80"/>
          <cell r="EX80"/>
          <cell r="EY80"/>
          <cell r="EZ80"/>
          <cell r="FA80"/>
          <cell r="FB80"/>
          <cell r="FC80"/>
          <cell r="FD80"/>
          <cell r="FE80"/>
          <cell r="FF80"/>
          <cell r="FG80"/>
          <cell r="FH80"/>
          <cell r="FI80"/>
          <cell r="FJ80">
            <v>0</v>
          </cell>
          <cell r="FK80">
            <v>0</v>
          </cell>
          <cell r="FL80"/>
          <cell r="FM80"/>
          <cell r="FN80"/>
          <cell r="FO80"/>
          <cell r="FP80"/>
          <cell r="FQ80"/>
          <cell r="FR80">
            <v>0</v>
          </cell>
          <cell r="FS80">
            <v>0</v>
          </cell>
          <cell r="FU80">
            <v>75</v>
          </cell>
          <cell r="FV80">
            <v>0</v>
          </cell>
          <cell r="FW80">
            <v>1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K80">
            <v>75</v>
          </cell>
          <cell r="GL80">
            <v>3.0000000000000001E-3</v>
          </cell>
          <cell r="GM80">
            <v>0.04</v>
          </cell>
          <cell r="GN80"/>
        </row>
        <row r="81">
          <cell r="AD81">
            <v>75</v>
          </cell>
          <cell r="AE81">
            <v>0.8</v>
          </cell>
          <cell r="AF81">
            <v>0.8</v>
          </cell>
          <cell r="DZ81">
            <v>76</v>
          </cell>
          <cell r="EA81">
            <v>0</v>
          </cell>
          <cell r="EB81">
            <v>0</v>
          </cell>
          <cell r="ED81">
            <v>75</v>
          </cell>
          <cell r="EE81">
            <v>0</v>
          </cell>
          <cell r="EF81"/>
          <cell r="EG81">
            <v>0</v>
          </cell>
          <cell r="EH81"/>
          <cell r="EI81">
            <v>0</v>
          </cell>
          <cell r="EJ81"/>
          <cell r="EK81"/>
          <cell r="EL81"/>
          <cell r="EM81"/>
          <cell r="EN81"/>
          <cell r="EP81">
            <v>76</v>
          </cell>
          <cell r="EQ81"/>
          <cell r="ER81"/>
          <cell r="ES81"/>
          <cell r="ET81"/>
          <cell r="EU81"/>
          <cell r="EV81"/>
          <cell r="EW81"/>
          <cell r="EX81"/>
          <cell r="EY81"/>
          <cell r="EZ81"/>
          <cell r="FA81"/>
          <cell r="FB81"/>
          <cell r="FC81"/>
          <cell r="FD81"/>
          <cell r="FE81"/>
          <cell r="FF81"/>
          <cell r="FG81"/>
          <cell r="FH81"/>
          <cell r="FI81"/>
          <cell r="FJ81">
            <v>0</v>
          </cell>
          <cell r="FK81">
            <v>0</v>
          </cell>
          <cell r="FL81"/>
          <cell r="FM81"/>
          <cell r="FN81"/>
          <cell r="FO81"/>
          <cell r="FP81"/>
          <cell r="FQ81"/>
          <cell r="FR81">
            <v>0</v>
          </cell>
          <cell r="FS81">
            <v>0</v>
          </cell>
          <cell r="FU81">
            <v>76</v>
          </cell>
          <cell r="FV81">
            <v>0</v>
          </cell>
          <cell r="FW81">
            <v>1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K81">
            <v>76</v>
          </cell>
          <cell r="GL81">
            <v>3.0000000000000001E-3</v>
          </cell>
          <cell r="GM81">
            <v>0.04</v>
          </cell>
          <cell r="GN81"/>
        </row>
        <row r="82">
          <cell r="AD82">
            <v>76</v>
          </cell>
          <cell r="AE82">
            <v>0.8</v>
          </cell>
          <cell r="AF82">
            <v>0.8</v>
          </cell>
          <cell r="DZ82">
            <v>77</v>
          </cell>
          <cell r="EA82">
            <v>0</v>
          </cell>
          <cell r="EB82">
            <v>0</v>
          </cell>
          <cell r="ED82">
            <v>76</v>
          </cell>
          <cell r="EE82">
            <v>0</v>
          </cell>
          <cell r="EF82"/>
          <cell r="EG82">
            <v>0</v>
          </cell>
          <cell r="EH82"/>
          <cell r="EI82">
            <v>0</v>
          </cell>
          <cell r="EJ82"/>
          <cell r="EK82"/>
          <cell r="EL82"/>
          <cell r="EM82"/>
          <cell r="EN82"/>
          <cell r="EP82">
            <v>77</v>
          </cell>
          <cell r="EQ82"/>
          <cell r="ER82"/>
          <cell r="ES82"/>
          <cell r="ET82"/>
          <cell r="EU82"/>
          <cell r="EV82"/>
          <cell r="EW82"/>
          <cell r="EX82"/>
          <cell r="EY82"/>
          <cell r="EZ82"/>
          <cell r="FA82"/>
          <cell r="FB82"/>
          <cell r="FC82"/>
          <cell r="FD82"/>
          <cell r="FE82"/>
          <cell r="FF82"/>
          <cell r="FG82"/>
          <cell r="FH82"/>
          <cell r="FI82"/>
          <cell r="FJ82">
            <v>0</v>
          </cell>
          <cell r="FK82">
            <v>0</v>
          </cell>
          <cell r="FL82"/>
          <cell r="FM82"/>
          <cell r="FN82"/>
          <cell r="FO82"/>
          <cell r="FP82"/>
          <cell r="FQ82"/>
          <cell r="FR82">
            <v>0</v>
          </cell>
          <cell r="FS82">
            <v>0</v>
          </cell>
          <cell r="FU82">
            <v>77</v>
          </cell>
          <cell r="FV82">
            <v>0</v>
          </cell>
          <cell r="FW82">
            <v>1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K82">
            <v>77</v>
          </cell>
          <cell r="GL82">
            <v>3.0000000000000001E-3</v>
          </cell>
          <cell r="GM82">
            <v>0.04</v>
          </cell>
          <cell r="GN82"/>
        </row>
        <row r="83">
          <cell r="AD83">
            <v>77</v>
          </cell>
          <cell r="AE83">
            <v>0.8</v>
          </cell>
          <cell r="AF83">
            <v>0.8</v>
          </cell>
          <cell r="DZ83">
            <v>78</v>
          </cell>
          <cell r="EA83">
            <v>0</v>
          </cell>
          <cell r="EB83">
            <v>0</v>
          </cell>
          <cell r="ED83">
            <v>77</v>
          </cell>
          <cell r="EE83">
            <v>0</v>
          </cell>
          <cell r="EF83"/>
          <cell r="EG83">
            <v>0</v>
          </cell>
          <cell r="EH83"/>
          <cell r="EI83">
            <v>0</v>
          </cell>
          <cell r="EJ83"/>
          <cell r="EK83"/>
          <cell r="EL83"/>
          <cell r="EM83"/>
          <cell r="EN83"/>
          <cell r="EP83">
            <v>78</v>
          </cell>
          <cell r="EQ83"/>
          <cell r="ER83"/>
          <cell r="ES83"/>
          <cell r="ET83"/>
          <cell r="EU83"/>
          <cell r="EV83"/>
          <cell r="EW83"/>
          <cell r="EX83"/>
          <cell r="EY83"/>
          <cell r="EZ83"/>
          <cell r="FA83"/>
          <cell r="FB83"/>
          <cell r="FC83"/>
          <cell r="FD83"/>
          <cell r="FE83"/>
          <cell r="FF83"/>
          <cell r="FG83"/>
          <cell r="FH83"/>
          <cell r="FI83"/>
          <cell r="FJ83">
            <v>0</v>
          </cell>
          <cell r="FK83">
            <v>0</v>
          </cell>
          <cell r="FL83"/>
          <cell r="FM83"/>
          <cell r="FN83"/>
          <cell r="FO83"/>
          <cell r="FP83"/>
          <cell r="FQ83"/>
          <cell r="FR83">
            <v>0</v>
          </cell>
          <cell r="FS83">
            <v>0</v>
          </cell>
          <cell r="FU83">
            <v>78</v>
          </cell>
          <cell r="FV83">
            <v>0</v>
          </cell>
          <cell r="FW83">
            <v>1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K83">
            <v>78</v>
          </cell>
          <cell r="GL83">
            <v>3.0000000000000001E-3</v>
          </cell>
          <cell r="GM83">
            <v>0.04</v>
          </cell>
          <cell r="GN83"/>
        </row>
        <row r="84">
          <cell r="AD84">
            <v>78</v>
          </cell>
          <cell r="AE84">
            <v>0.8</v>
          </cell>
          <cell r="AF84">
            <v>0.8</v>
          </cell>
          <cell r="DZ84">
            <v>79</v>
          </cell>
          <cell r="EA84">
            <v>0</v>
          </cell>
          <cell r="EB84">
            <v>0</v>
          </cell>
          <cell r="ED84">
            <v>78</v>
          </cell>
          <cell r="EE84">
            <v>0</v>
          </cell>
          <cell r="EF84"/>
          <cell r="EG84">
            <v>0</v>
          </cell>
          <cell r="EH84"/>
          <cell r="EI84">
            <v>0</v>
          </cell>
          <cell r="EJ84"/>
          <cell r="EK84"/>
          <cell r="EL84"/>
          <cell r="EM84"/>
          <cell r="EN84"/>
          <cell r="EP84">
            <v>79</v>
          </cell>
          <cell r="EQ84"/>
          <cell r="ER84"/>
          <cell r="ES84"/>
          <cell r="ET84"/>
          <cell r="EU84"/>
          <cell r="EV84"/>
          <cell r="EW84"/>
          <cell r="EX84"/>
          <cell r="EY84"/>
          <cell r="EZ84"/>
          <cell r="FA84"/>
          <cell r="FB84"/>
          <cell r="FC84"/>
          <cell r="FD84"/>
          <cell r="FE84"/>
          <cell r="FF84"/>
          <cell r="FG84"/>
          <cell r="FH84"/>
          <cell r="FI84"/>
          <cell r="FJ84">
            <v>0</v>
          </cell>
          <cell r="FK84">
            <v>0</v>
          </cell>
          <cell r="FL84"/>
          <cell r="FM84"/>
          <cell r="FN84"/>
          <cell r="FO84"/>
          <cell r="FP84"/>
          <cell r="FQ84"/>
          <cell r="FR84">
            <v>0</v>
          </cell>
          <cell r="FS84">
            <v>0</v>
          </cell>
          <cell r="FU84">
            <v>79</v>
          </cell>
          <cell r="FV84">
            <v>0</v>
          </cell>
          <cell r="FW84">
            <v>1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K84">
            <v>79</v>
          </cell>
          <cell r="GL84">
            <v>3.0000000000000001E-3</v>
          </cell>
          <cell r="GM84">
            <v>0.04</v>
          </cell>
          <cell r="GN84"/>
        </row>
        <row r="85">
          <cell r="AD85">
            <v>79</v>
          </cell>
          <cell r="AE85">
            <v>0.8</v>
          </cell>
          <cell r="AF85">
            <v>0.8</v>
          </cell>
          <cell r="DZ85">
            <v>80</v>
          </cell>
          <cell r="EA85">
            <v>0</v>
          </cell>
          <cell r="EB85">
            <v>0</v>
          </cell>
          <cell r="ED85">
            <v>79</v>
          </cell>
          <cell r="EE85">
            <v>0</v>
          </cell>
          <cell r="EF85"/>
          <cell r="EG85">
            <v>0</v>
          </cell>
          <cell r="EH85"/>
          <cell r="EI85">
            <v>0</v>
          </cell>
          <cell r="EJ85"/>
          <cell r="EK85"/>
          <cell r="EL85"/>
          <cell r="EM85"/>
          <cell r="EN85"/>
          <cell r="EP85">
            <v>80</v>
          </cell>
          <cell r="EQ85"/>
          <cell r="ER85"/>
          <cell r="ES85"/>
          <cell r="ET85"/>
          <cell r="EU85"/>
          <cell r="EV85"/>
          <cell r="EW85"/>
          <cell r="EX85"/>
          <cell r="EY85"/>
          <cell r="EZ85"/>
          <cell r="FA85"/>
          <cell r="FB85"/>
          <cell r="FC85"/>
          <cell r="FD85"/>
          <cell r="FE85"/>
          <cell r="FF85"/>
          <cell r="FG85"/>
          <cell r="FH85"/>
          <cell r="FI85"/>
          <cell r="FJ85">
            <v>0</v>
          </cell>
          <cell r="FK85">
            <v>0</v>
          </cell>
          <cell r="FL85"/>
          <cell r="FM85"/>
          <cell r="FN85"/>
          <cell r="FO85"/>
          <cell r="FP85"/>
          <cell r="FQ85"/>
          <cell r="FR85">
            <v>0</v>
          </cell>
          <cell r="FS85">
            <v>0</v>
          </cell>
          <cell r="FU85">
            <v>80</v>
          </cell>
          <cell r="FV85">
            <v>0</v>
          </cell>
          <cell r="FW85">
            <v>1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K85">
            <v>80</v>
          </cell>
          <cell r="GL85">
            <v>3.0000000000000001E-3</v>
          </cell>
          <cell r="GM85">
            <v>0.04</v>
          </cell>
          <cell r="GN85"/>
        </row>
        <row r="86">
          <cell r="AD86">
            <v>80</v>
          </cell>
          <cell r="AE86">
            <v>0.8</v>
          </cell>
          <cell r="AF86">
            <v>0.8</v>
          </cell>
          <cell r="DZ86">
            <v>81</v>
          </cell>
          <cell r="EA86">
            <v>0</v>
          </cell>
          <cell r="EB86">
            <v>0</v>
          </cell>
          <cell r="ED86">
            <v>80</v>
          </cell>
          <cell r="EE86">
            <v>0</v>
          </cell>
          <cell r="EF86"/>
          <cell r="EG86">
            <v>0</v>
          </cell>
          <cell r="EH86"/>
          <cell r="EI86">
            <v>0</v>
          </cell>
          <cell r="EJ86"/>
          <cell r="EK86"/>
          <cell r="EL86"/>
          <cell r="EM86"/>
          <cell r="EN86"/>
          <cell r="EP86">
            <v>81</v>
          </cell>
          <cell r="EQ86"/>
          <cell r="ER86"/>
          <cell r="ES86"/>
          <cell r="ET86"/>
          <cell r="EU86"/>
          <cell r="EV86"/>
          <cell r="EW86"/>
          <cell r="EX86"/>
          <cell r="EY86"/>
          <cell r="EZ86"/>
          <cell r="FA86"/>
          <cell r="FB86"/>
          <cell r="FC86"/>
          <cell r="FD86"/>
          <cell r="FE86"/>
          <cell r="FF86"/>
          <cell r="FG86"/>
          <cell r="FH86"/>
          <cell r="FI86"/>
          <cell r="FJ86">
            <v>0</v>
          </cell>
          <cell r="FK86">
            <v>0</v>
          </cell>
          <cell r="FL86"/>
          <cell r="FM86"/>
          <cell r="FN86"/>
          <cell r="FO86"/>
          <cell r="FP86"/>
          <cell r="FQ86"/>
          <cell r="FR86">
            <v>0</v>
          </cell>
          <cell r="FS86">
            <v>0</v>
          </cell>
          <cell r="FU86">
            <v>81</v>
          </cell>
          <cell r="FV86">
            <v>0</v>
          </cell>
          <cell r="FW86">
            <v>1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K86">
            <v>81</v>
          </cell>
          <cell r="GL86">
            <v>3.0000000000000001E-3</v>
          </cell>
          <cell r="GM86">
            <v>0.04</v>
          </cell>
          <cell r="GN86"/>
        </row>
        <row r="87">
          <cell r="AD87">
            <v>81</v>
          </cell>
          <cell r="AE87">
            <v>0.8</v>
          </cell>
          <cell r="AF87">
            <v>0.8</v>
          </cell>
          <cell r="DZ87">
            <v>82</v>
          </cell>
          <cell r="EA87">
            <v>0</v>
          </cell>
          <cell r="EB87">
            <v>0</v>
          </cell>
          <cell r="ED87">
            <v>81</v>
          </cell>
          <cell r="EE87">
            <v>0</v>
          </cell>
          <cell r="EF87"/>
          <cell r="EG87">
            <v>0</v>
          </cell>
          <cell r="EH87"/>
          <cell r="EI87">
            <v>0</v>
          </cell>
          <cell r="EJ87"/>
          <cell r="EK87"/>
          <cell r="EL87"/>
          <cell r="EM87"/>
          <cell r="EN87"/>
          <cell r="EP87">
            <v>82</v>
          </cell>
          <cell r="EQ87"/>
          <cell r="ER87"/>
          <cell r="ES87"/>
          <cell r="ET87"/>
          <cell r="EU87"/>
          <cell r="EV87"/>
          <cell r="EW87"/>
          <cell r="EX87"/>
          <cell r="EY87"/>
          <cell r="EZ87"/>
          <cell r="FA87"/>
          <cell r="FB87"/>
          <cell r="FC87"/>
          <cell r="FD87"/>
          <cell r="FE87"/>
          <cell r="FF87"/>
          <cell r="FG87"/>
          <cell r="FH87"/>
          <cell r="FI87"/>
          <cell r="FJ87">
            <v>0</v>
          </cell>
          <cell r="FK87">
            <v>0</v>
          </cell>
          <cell r="FL87"/>
          <cell r="FM87"/>
          <cell r="FN87"/>
          <cell r="FO87"/>
          <cell r="FP87"/>
          <cell r="FQ87"/>
          <cell r="FR87">
            <v>0</v>
          </cell>
          <cell r="FS87">
            <v>0</v>
          </cell>
          <cell r="FU87">
            <v>82</v>
          </cell>
          <cell r="FV87">
            <v>0</v>
          </cell>
          <cell r="FW87">
            <v>1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K87">
            <v>82</v>
          </cell>
          <cell r="GL87">
            <v>3.0000000000000001E-3</v>
          </cell>
          <cell r="GM87">
            <v>0.04</v>
          </cell>
          <cell r="GN87"/>
        </row>
        <row r="88">
          <cell r="AD88">
            <v>82</v>
          </cell>
          <cell r="AE88">
            <v>0.8</v>
          </cell>
          <cell r="AF88">
            <v>0.8</v>
          </cell>
          <cell r="DZ88">
            <v>83</v>
          </cell>
          <cell r="EA88">
            <v>0</v>
          </cell>
          <cell r="EB88">
            <v>0</v>
          </cell>
          <cell r="ED88">
            <v>82</v>
          </cell>
          <cell r="EE88">
            <v>0</v>
          </cell>
          <cell r="EF88"/>
          <cell r="EG88">
            <v>0</v>
          </cell>
          <cell r="EH88"/>
          <cell r="EI88">
            <v>0</v>
          </cell>
          <cell r="EJ88"/>
          <cell r="EK88"/>
          <cell r="EL88"/>
          <cell r="EM88"/>
          <cell r="EN88"/>
          <cell r="EP88">
            <v>83</v>
          </cell>
          <cell r="EQ88"/>
          <cell r="ER88"/>
          <cell r="ES88"/>
          <cell r="ET88"/>
          <cell r="EU88"/>
          <cell r="EV88"/>
          <cell r="EW88"/>
          <cell r="EX88"/>
          <cell r="EY88"/>
          <cell r="EZ88"/>
          <cell r="FA88"/>
          <cell r="FB88"/>
          <cell r="FC88"/>
          <cell r="FD88"/>
          <cell r="FE88"/>
          <cell r="FF88"/>
          <cell r="FG88"/>
          <cell r="FH88"/>
          <cell r="FI88"/>
          <cell r="FJ88">
            <v>0</v>
          </cell>
          <cell r="FK88">
            <v>0</v>
          </cell>
          <cell r="FL88"/>
          <cell r="FM88"/>
          <cell r="FN88"/>
          <cell r="FO88"/>
          <cell r="FP88"/>
          <cell r="FQ88"/>
          <cell r="FR88">
            <v>0</v>
          </cell>
          <cell r="FS88">
            <v>0</v>
          </cell>
          <cell r="FU88">
            <v>83</v>
          </cell>
          <cell r="FV88">
            <v>0</v>
          </cell>
          <cell r="FW88">
            <v>1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K88">
            <v>83</v>
          </cell>
          <cell r="GL88">
            <v>3.0000000000000001E-3</v>
          </cell>
          <cell r="GM88">
            <v>0.04</v>
          </cell>
          <cell r="GN88"/>
        </row>
        <row r="89">
          <cell r="AD89">
            <v>83</v>
          </cell>
          <cell r="AE89">
            <v>0.8</v>
          </cell>
          <cell r="AF89">
            <v>0.8</v>
          </cell>
          <cell r="DZ89">
            <v>84</v>
          </cell>
          <cell r="EA89">
            <v>0</v>
          </cell>
          <cell r="EB89">
            <v>0</v>
          </cell>
          <cell r="ED89">
            <v>83</v>
          </cell>
          <cell r="EE89">
            <v>0</v>
          </cell>
          <cell r="EF89"/>
          <cell r="EG89">
            <v>0</v>
          </cell>
          <cell r="EH89"/>
          <cell r="EI89">
            <v>0</v>
          </cell>
          <cell r="EJ89"/>
          <cell r="EK89"/>
          <cell r="EL89"/>
          <cell r="EM89"/>
          <cell r="EN89"/>
          <cell r="EP89">
            <v>84</v>
          </cell>
          <cell r="EQ89"/>
          <cell r="ER89"/>
          <cell r="ES89"/>
          <cell r="ET89"/>
          <cell r="EU89"/>
          <cell r="EV89"/>
          <cell r="EW89"/>
          <cell r="EX89"/>
          <cell r="EY89"/>
          <cell r="EZ89"/>
          <cell r="FA89"/>
          <cell r="FB89"/>
          <cell r="FC89"/>
          <cell r="FD89"/>
          <cell r="FE89"/>
          <cell r="FF89"/>
          <cell r="FG89"/>
          <cell r="FH89"/>
          <cell r="FI89"/>
          <cell r="FJ89">
            <v>0</v>
          </cell>
          <cell r="FK89">
            <v>0</v>
          </cell>
          <cell r="FL89"/>
          <cell r="FM89"/>
          <cell r="FN89"/>
          <cell r="FO89"/>
          <cell r="FP89"/>
          <cell r="FQ89"/>
          <cell r="FR89">
            <v>0</v>
          </cell>
          <cell r="FS89">
            <v>0</v>
          </cell>
          <cell r="FU89">
            <v>84</v>
          </cell>
          <cell r="FV89">
            <v>0</v>
          </cell>
          <cell r="FW89">
            <v>1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K89">
            <v>84</v>
          </cell>
          <cell r="GL89">
            <v>3.0000000000000001E-3</v>
          </cell>
          <cell r="GM89">
            <v>0.04</v>
          </cell>
          <cell r="GN89"/>
        </row>
        <row r="90">
          <cell r="AD90">
            <v>84</v>
          </cell>
          <cell r="AE90">
            <v>0.8</v>
          </cell>
          <cell r="AF90">
            <v>0.8</v>
          </cell>
          <cell r="DZ90">
            <v>85</v>
          </cell>
          <cell r="EA90">
            <v>0</v>
          </cell>
          <cell r="EB90">
            <v>0</v>
          </cell>
          <cell r="ED90">
            <v>84</v>
          </cell>
          <cell r="EE90">
            <v>0</v>
          </cell>
          <cell r="EF90"/>
          <cell r="EG90">
            <v>0</v>
          </cell>
          <cell r="EH90"/>
          <cell r="EI90">
            <v>0</v>
          </cell>
          <cell r="EJ90"/>
          <cell r="EK90"/>
          <cell r="EL90"/>
          <cell r="EM90"/>
          <cell r="EN90"/>
          <cell r="EP90">
            <v>85</v>
          </cell>
          <cell r="EQ90"/>
          <cell r="ER90"/>
          <cell r="ES90"/>
          <cell r="ET90"/>
          <cell r="EU90"/>
          <cell r="EV90"/>
          <cell r="EW90"/>
          <cell r="EX90"/>
          <cell r="EY90"/>
          <cell r="EZ90"/>
          <cell r="FA90"/>
          <cell r="FB90"/>
          <cell r="FC90"/>
          <cell r="FD90"/>
          <cell r="FE90"/>
          <cell r="FF90"/>
          <cell r="FG90"/>
          <cell r="FH90"/>
          <cell r="FI90"/>
          <cell r="FJ90">
            <v>0</v>
          </cell>
          <cell r="FK90">
            <v>0</v>
          </cell>
          <cell r="FL90"/>
          <cell r="FM90"/>
          <cell r="FN90"/>
          <cell r="FO90"/>
          <cell r="FP90"/>
          <cell r="FQ90"/>
          <cell r="FR90">
            <v>0</v>
          </cell>
          <cell r="FS90">
            <v>0</v>
          </cell>
          <cell r="FU90">
            <v>85</v>
          </cell>
          <cell r="FV90">
            <v>0</v>
          </cell>
          <cell r="FW90">
            <v>1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1</v>
          </cell>
          <cell r="GK90">
            <v>85</v>
          </cell>
          <cell r="GL90">
            <v>3.0000000000000001E-3</v>
          </cell>
          <cell r="GM90">
            <v>0.04</v>
          </cell>
          <cell r="GN90"/>
        </row>
        <row r="91">
          <cell r="AD91">
            <v>85</v>
          </cell>
          <cell r="AE91">
            <v>0.8</v>
          </cell>
          <cell r="AF91">
            <v>0.8</v>
          </cell>
          <cell r="DZ91">
            <v>86</v>
          </cell>
          <cell r="EA91">
            <v>0</v>
          </cell>
          <cell r="EB91">
            <v>0</v>
          </cell>
          <cell r="ED91">
            <v>85</v>
          </cell>
          <cell r="EE91">
            <v>0</v>
          </cell>
          <cell r="EF91"/>
          <cell r="EG91">
            <v>0</v>
          </cell>
          <cell r="EH91"/>
          <cell r="EI91">
            <v>0</v>
          </cell>
          <cell r="EJ91"/>
          <cell r="EK91"/>
          <cell r="EL91"/>
          <cell r="EM91"/>
          <cell r="EN91"/>
          <cell r="EP91">
            <v>86</v>
          </cell>
          <cell r="EQ91"/>
          <cell r="ER91"/>
          <cell r="ES91"/>
          <cell r="ET91"/>
          <cell r="EU91"/>
          <cell r="EV91"/>
          <cell r="EW91"/>
          <cell r="EX91"/>
          <cell r="EY91"/>
          <cell r="EZ91"/>
          <cell r="FA91"/>
          <cell r="FB91"/>
          <cell r="FC91"/>
          <cell r="FD91"/>
          <cell r="FE91"/>
          <cell r="FF91"/>
          <cell r="FG91"/>
          <cell r="FH91"/>
          <cell r="FI91"/>
          <cell r="FJ91">
            <v>0</v>
          </cell>
          <cell r="FK91">
            <v>0</v>
          </cell>
          <cell r="FL91"/>
          <cell r="FM91"/>
          <cell r="FN91"/>
          <cell r="FO91"/>
          <cell r="FP91"/>
          <cell r="FQ91"/>
          <cell r="FR91">
            <v>0</v>
          </cell>
          <cell r="FS91">
            <v>0</v>
          </cell>
          <cell r="FU91">
            <v>86</v>
          </cell>
          <cell r="FV91">
            <v>0</v>
          </cell>
          <cell r="FW91">
            <v>1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K91">
            <v>86</v>
          </cell>
          <cell r="GL91">
            <v>3.0000000000000001E-3</v>
          </cell>
          <cell r="GM91">
            <v>0.04</v>
          </cell>
          <cell r="GN91"/>
        </row>
        <row r="92">
          <cell r="AD92">
            <v>86</v>
          </cell>
          <cell r="AE92">
            <v>0.8</v>
          </cell>
          <cell r="AF92">
            <v>0.8</v>
          </cell>
          <cell r="DZ92">
            <v>87</v>
          </cell>
          <cell r="EA92">
            <v>0</v>
          </cell>
          <cell r="EB92">
            <v>0</v>
          </cell>
          <cell r="ED92">
            <v>86</v>
          </cell>
          <cell r="EE92">
            <v>0</v>
          </cell>
          <cell r="EF92"/>
          <cell r="EG92">
            <v>0</v>
          </cell>
          <cell r="EH92"/>
          <cell r="EI92">
            <v>0</v>
          </cell>
          <cell r="EJ92"/>
          <cell r="EK92"/>
          <cell r="EL92"/>
          <cell r="EM92"/>
          <cell r="EN92"/>
          <cell r="EP92">
            <v>87</v>
          </cell>
          <cell r="EQ92"/>
          <cell r="ER92"/>
          <cell r="ES92"/>
          <cell r="ET92"/>
          <cell r="EU92"/>
          <cell r="EV92"/>
          <cell r="EW92"/>
          <cell r="EX92"/>
          <cell r="EY92"/>
          <cell r="EZ92"/>
          <cell r="FA92"/>
          <cell r="FB92"/>
          <cell r="FC92"/>
          <cell r="FD92"/>
          <cell r="FE92"/>
          <cell r="FF92"/>
          <cell r="FG92"/>
          <cell r="FH92"/>
          <cell r="FI92"/>
          <cell r="FJ92">
            <v>0</v>
          </cell>
          <cell r="FK92">
            <v>0</v>
          </cell>
          <cell r="FL92"/>
          <cell r="FM92"/>
          <cell r="FN92"/>
          <cell r="FO92"/>
          <cell r="FP92"/>
          <cell r="FQ92"/>
          <cell r="FR92">
            <v>0</v>
          </cell>
          <cell r="FS92">
            <v>0</v>
          </cell>
          <cell r="FU92">
            <v>87</v>
          </cell>
          <cell r="FV92">
            <v>0</v>
          </cell>
          <cell r="FW92">
            <v>1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K92">
            <v>87</v>
          </cell>
          <cell r="GL92">
            <v>3.0000000000000001E-3</v>
          </cell>
          <cell r="GM92">
            <v>0.04</v>
          </cell>
          <cell r="GN92"/>
        </row>
        <row r="93">
          <cell r="AD93">
            <v>87</v>
          </cell>
          <cell r="AE93">
            <v>0.8</v>
          </cell>
          <cell r="AF93">
            <v>0.8</v>
          </cell>
          <cell r="DZ93">
            <v>88</v>
          </cell>
          <cell r="EA93">
            <v>0</v>
          </cell>
          <cell r="EB93">
            <v>0</v>
          </cell>
          <cell r="ED93">
            <v>87</v>
          </cell>
          <cell r="EE93">
            <v>0</v>
          </cell>
          <cell r="EF93"/>
          <cell r="EG93">
            <v>0</v>
          </cell>
          <cell r="EH93"/>
          <cell r="EI93">
            <v>0</v>
          </cell>
          <cell r="EJ93"/>
          <cell r="EK93"/>
          <cell r="EL93"/>
          <cell r="EM93"/>
          <cell r="EN93"/>
          <cell r="EP93">
            <v>88</v>
          </cell>
          <cell r="EQ93"/>
          <cell r="ER93"/>
          <cell r="ES93"/>
          <cell r="ET93"/>
          <cell r="EU93"/>
          <cell r="EV93"/>
          <cell r="EW93"/>
          <cell r="EX93"/>
          <cell r="EY93"/>
          <cell r="EZ93"/>
          <cell r="FA93"/>
          <cell r="FB93"/>
          <cell r="FC93"/>
          <cell r="FD93"/>
          <cell r="FE93"/>
          <cell r="FF93"/>
          <cell r="FG93"/>
          <cell r="FH93"/>
          <cell r="FI93"/>
          <cell r="FJ93">
            <v>0</v>
          </cell>
          <cell r="FK93">
            <v>0</v>
          </cell>
          <cell r="FL93"/>
          <cell r="FM93"/>
          <cell r="FN93"/>
          <cell r="FO93"/>
          <cell r="FP93"/>
          <cell r="FQ93"/>
          <cell r="FR93">
            <v>0</v>
          </cell>
          <cell r="FS93">
            <v>0</v>
          </cell>
          <cell r="FU93">
            <v>88</v>
          </cell>
          <cell r="FV93">
            <v>0</v>
          </cell>
          <cell r="FW93">
            <v>1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K93">
            <v>88</v>
          </cell>
          <cell r="GL93">
            <v>3.0000000000000001E-3</v>
          </cell>
          <cell r="GM93">
            <v>0.04</v>
          </cell>
          <cell r="GN93"/>
        </row>
        <row r="94">
          <cell r="AD94">
            <v>88</v>
          </cell>
          <cell r="AE94">
            <v>0.8</v>
          </cell>
          <cell r="AF94">
            <v>0.8</v>
          </cell>
          <cell r="DZ94">
            <v>89</v>
          </cell>
          <cell r="EA94">
            <v>0</v>
          </cell>
          <cell r="EB94">
            <v>0</v>
          </cell>
          <cell r="ED94">
            <v>88</v>
          </cell>
          <cell r="EE94">
            <v>0</v>
          </cell>
          <cell r="EF94"/>
          <cell r="EG94">
            <v>0</v>
          </cell>
          <cell r="EH94"/>
          <cell r="EI94">
            <v>0</v>
          </cell>
          <cell r="EJ94"/>
          <cell r="EK94"/>
          <cell r="EL94"/>
          <cell r="EM94"/>
          <cell r="EN94"/>
          <cell r="EP94">
            <v>89</v>
          </cell>
          <cell r="EQ94"/>
          <cell r="ER94"/>
          <cell r="ES94"/>
          <cell r="ET94"/>
          <cell r="EU94"/>
          <cell r="EV94"/>
          <cell r="EW94"/>
          <cell r="EX94"/>
          <cell r="EY94"/>
          <cell r="EZ94"/>
          <cell r="FA94"/>
          <cell r="FB94"/>
          <cell r="FC94"/>
          <cell r="FD94"/>
          <cell r="FE94"/>
          <cell r="FF94"/>
          <cell r="FG94"/>
          <cell r="FH94"/>
          <cell r="FI94"/>
          <cell r="FJ94">
            <v>0</v>
          </cell>
          <cell r="FK94">
            <v>0</v>
          </cell>
          <cell r="FL94"/>
          <cell r="FM94"/>
          <cell r="FN94"/>
          <cell r="FO94"/>
          <cell r="FP94"/>
          <cell r="FQ94"/>
          <cell r="FR94">
            <v>0</v>
          </cell>
          <cell r="FS94">
            <v>0</v>
          </cell>
          <cell r="FU94">
            <v>89</v>
          </cell>
          <cell r="FV94">
            <v>0</v>
          </cell>
          <cell r="FW94">
            <v>1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K94">
            <v>89</v>
          </cell>
          <cell r="GL94">
            <v>3.0000000000000001E-3</v>
          </cell>
          <cell r="GM94">
            <v>0.04</v>
          </cell>
          <cell r="GN94"/>
        </row>
        <row r="95">
          <cell r="AD95">
            <v>89</v>
          </cell>
          <cell r="AE95">
            <v>0.8</v>
          </cell>
          <cell r="AF95">
            <v>0.8</v>
          </cell>
          <cell r="DZ95">
            <v>90</v>
          </cell>
          <cell r="EA95">
            <v>0</v>
          </cell>
          <cell r="EB95">
            <v>0</v>
          </cell>
          <cell r="ED95">
            <v>89</v>
          </cell>
          <cell r="EE95">
            <v>0</v>
          </cell>
          <cell r="EF95"/>
          <cell r="EG95">
            <v>0</v>
          </cell>
          <cell r="EH95"/>
          <cell r="EI95">
            <v>0</v>
          </cell>
          <cell r="EJ95"/>
          <cell r="EK95"/>
          <cell r="EL95"/>
          <cell r="EM95"/>
          <cell r="EN95"/>
          <cell r="EP95">
            <v>90</v>
          </cell>
          <cell r="EQ95"/>
          <cell r="ER95"/>
          <cell r="ES95"/>
          <cell r="ET95"/>
          <cell r="EU95"/>
          <cell r="EV95"/>
          <cell r="EW95"/>
          <cell r="EX95"/>
          <cell r="EY95"/>
          <cell r="EZ95"/>
          <cell r="FA95"/>
          <cell r="FB95"/>
          <cell r="FC95"/>
          <cell r="FD95"/>
          <cell r="FE95"/>
          <cell r="FF95"/>
          <cell r="FG95"/>
          <cell r="FH95"/>
          <cell r="FI95"/>
          <cell r="FJ95">
            <v>0</v>
          </cell>
          <cell r="FK95">
            <v>0</v>
          </cell>
          <cell r="FL95"/>
          <cell r="FM95"/>
          <cell r="FN95"/>
          <cell r="FO95"/>
          <cell r="FP95"/>
          <cell r="FQ95"/>
          <cell r="FR95">
            <v>0</v>
          </cell>
          <cell r="FS95">
            <v>0</v>
          </cell>
          <cell r="FU95">
            <v>90</v>
          </cell>
          <cell r="FV95">
            <v>0</v>
          </cell>
          <cell r="FW95">
            <v>1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K95">
            <v>90</v>
          </cell>
          <cell r="GL95">
            <v>3.0000000000000001E-3</v>
          </cell>
          <cell r="GM95">
            <v>0.04</v>
          </cell>
          <cell r="GN95"/>
        </row>
        <row r="96">
          <cell r="AD96">
            <v>90</v>
          </cell>
          <cell r="AE96">
            <v>0.8</v>
          </cell>
          <cell r="AF96">
            <v>0.8</v>
          </cell>
          <cell r="DZ96">
            <v>91</v>
          </cell>
          <cell r="EA96">
            <v>0</v>
          </cell>
          <cell r="EB96">
            <v>0</v>
          </cell>
          <cell r="ED96">
            <v>90</v>
          </cell>
          <cell r="EE96">
            <v>0</v>
          </cell>
          <cell r="EF96"/>
          <cell r="EG96">
            <v>0</v>
          </cell>
          <cell r="EH96"/>
          <cell r="EI96">
            <v>0</v>
          </cell>
          <cell r="EJ96"/>
          <cell r="EK96"/>
          <cell r="EL96"/>
          <cell r="EM96"/>
          <cell r="EN96"/>
          <cell r="EP96">
            <v>91</v>
          </cell>
          <cell r="EQ96"/>
          <cell r="ER96"/>
          <cell r="ES96"/>
          <cell r="ET96"/>
          <cell r="EU96"/>
          <cell r="EV96"/>
          <cell r="EW96"/>
          <cell r="EX96"/>
          <cell r="EY96"/>
          <cell r="EZ96"/>
          <cell r="FA96"/>
          <cell r="FB96"/>
          <cell r="FC96"/>
          <cell r="FD96"/>
          <cell r="FE96"/>
          <cell r="FF96"/>
          <cell r="FG96"/>
          <cell r="FH96"/>
          <cell r="FI96"/>
          <cell r="FJ96">
            <v>0</v>
          </cell>
          <cell r="FK96">
            <v>0</v>
          </cell>
          <cell r="FL96"/>
          <cell r="FM96"/>
          <cell r="FN96"/>
          <cell r="FO96"/>
          <cell r="FP96"/>
          <cell r="FQ96"/>
          <cell r="FR96">
            <v>0</v>
          </cell>
          <cell r="FS96">
            <v>0</v>
          </cell>
          <cell r="FU96">
            <v>91</v>
          </cell>
          <cell r="FV96">
            <v>0</v>
          </cell>
          <cell r="FW96">
            <v>1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K96">
            <v>91</v>
          </cell>
          <cell r="GL96">
            <v>3.0000000000000001E-3</v>
          </cell>
          <cell r="GM96">
            <v>0.04</v>
          </cell>
          <cell r="GN96"/>
        </row>
        <row r="97">
          <cell r="AD97">
            <v>91</v>
          </cell>
          <cell r="AE97">
            <v>0.8</v>
          </cell>
          <cell r="AF97">
            <v>0.8</v>
          </cell>
          <cell r="DZ97">
            <v>92</v>
          </cell>
          <cell r="EA97">
            <v>0</v>
          </cell>
          <cell r="EB97">
            <v>0</v>
          </cell>
          <cell r="ED97">
            <v>91</v>
          </cell>
          <cell r="EE97">
            <v>0</v>
          </cell>
          <cell r="EF97"/>
          <cell r="EG97">
            <v>0</v>
          </cell>
          <cell r="EH97"/>
          <cell r="EI97">
            <v>0</v>
          </cell>
          <cell r="EJ97"/>
          <cell r="EK97"/>
          <cell r="EL97"/>
          <cell r="EM97"/>
          <cell r="EN97"/>
          <cell r="EP97">
            <v>92</v>
          </cell>
          <cell r="EQ97"/>
          <cell r="ER97"/>
          <cell r="ES97"/>
          <cell r="ET97"/>
          <cell r="EU97"/>
          <cell r="EV97"/>
          <cell r="EW97"/>
          <cell r="EX97"/>
          <cell r="EY97"/>
          <cell r="EZ97"/>
          <cell r="FA97"/>
          <cell r="FB97"/>
          <cell r="FC97"/>
          <cell r="FD97"/>
          <cell r="FE97"/>
          <cell r="FF97"/>
          <cell r="FG97"/>
          <cell r="FH97"/>
          <cell r="FI97"/>
          <cell r="FJ97">
            <v>0</v>
          </cell>
          <cell r="FK97">
            <v>0</v>
          </cell>
          <cell r="FL97"/>
          <cell r="FM97"/>
          <cell r="FN97"/>
          <cell r="FO97"/>
          <cell r="FP97"/>
          <cell r="FQ97"/>
          <cell r="FR97">
            <v>0</v>
          </cell>
          <cell r="FS97">
            <v>0</v>
          </cell>
          <cell r="FU97">
            <v>92</v>
          </cell>
          <cell r="FV97">
            <v>0</v>
          </cell>
          <cell r="FW97">
            <v>1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K97">
            <v>92</v>
          </cell>
          <cell r="GL97">
            <v>3.0000000000000001E-3</v>
          </cell>
          <cell r="GM97">
            <v>0.04</v>
          </cell>
          <cell r="GN97"/>
        </row>
        <row r="98">
          <cell r="AD98">
            <v>92</v>
          </cell>
          <cell r="AE98">
            <v>0.8</v>
          </cell>
          <cell r="AF98">
            <v>0.8</v>
          </cell>
          <cell r="DZ98">
            <v>93</v>
          </cell>
          <cell r="EA98">
            <v>0</v>
          </cell>
          <cell r="EB98">
            <v>0</v>
          </cell>
          <cell r="ED98">
            <v>92</v>
          </cell>
          <cell r="EE98">
            <v>0</v>
          </cell>
          <cell r="EF98"/>
          <cell r="EG98">
            <v>0</v>
          </cell>
          <cell r="EH98"/>
          <cell r="EI98">
            <v>0</v>
          </cell>
          <cell r="EJ98"/>
          <cell r="EK98"/>
          <cell r="EL98"/>
          <cell r="EM98"/>
          <cell r="EN98"/>
          <cell r="EP98">
            <v>93</v>
          </cell>
          <cell r="EQ98"/>
          <cell r="ER98"/>
          <cell r="ES98"/>
          <cell r="ET98"/>
          <cell r="EU98"/>
          <cell r="EV98"/>
          <cell r="EW98"/>
          <cell r="EX98"/>
          <cell r="EY98"/>
          <cell r="EZ98"/>
          <cell r="FA98"/>
          <cell r="FB98"/>
          <cell r="FC98"/>
          <cell r="FD98"/>
          <cell r="FE98"/>
          <cell r="FF98"/>
          <cell r="FG98"/>
          <cell r="FH98"/>
          <cell r="FI98"/>
          <cell r="FJ98">
            <v>0</v>
          </cell>
          <cell r="FK98">
            <v>0</v>
          </cell>
          <cell r="FL98"/>
          <cell r="FM98"/>
          <cell r="FN98"/>
          <cell r="FO98"/>
          <cell r="FP98"/>
          <cell r="FQ98"/>
          <cell r="FR98">
            <v>0</v>
          </cell>
          <cell r="FS98">
            <v>0</v>
          </cell>
          <cell r="FU98">
            <v>93</v>
          </cell>
          <cell r="FV98">
            <v>0</v>
          </cell>
          <cell r="FW98">
            <v>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K98">
            <v>93</v>
          </cell>
          <cell r="GL98">
            <v>3.0000000000000001E-3</v>
          </cell>
          <cell r="GM98">
            <v>0.04</v>
          </cell>
          <cell r="GN98"/>
        </row>
        <row r="99">
          <cell r="AD99">
            <v>93</v>
          </cell>
          <cell r="AE99">
            <v>0.8</v>
          </cell>
          <cell r="AF99">
            <v>0.8</v>
          </cell>
          <cell r="DZ99">
            <v>94</v>
          </cell>
          <cell r="EA99">
            <v>0</v>
          </cell>
          <cell r="EB99">
            <v>0</v>
          </cell>
          <cell r="ED99">
            <v>93</v>
          </cell>
          <cell r="EE99">
            <v>0</v>
          </cell>
          <cell r="EF99"/>
          <cell r="EG99">
            <v>0</v>
          </cell>
          <cell r="EH99"/>
          <cell r="EI99">
            <v>0</v>
          </cell>
          <cell r="EJ99"/>
          <cell r="EK99"/>
          <cell r="EL99"/>
          <cell r="EM99"/>
          <cell r="EN99"/>
          <cell r="EP99">
            <v>94</v>
          </cell>
          <cell r="EQ99"/>
          <cell r="ER99"/>
          <cell r="ES99"/>
          <cell r="ET99"/>
          <cell r="EU99"/>
          <cell r="EV99"/>
          <cell r="EW99"/>
          <cell r="EX99"/>
          <cell r="EY99"/>
          <cell r="EZ99"/>
          <cell r="FA99"/>
          <cell r="FB99"/>
          <cell r="FC99"/>
          <cell r="FD99"/>
          <cell r="FE99"/>
          <cell r="FF99"/>
          <cell r="FG99"/>
          <cell r="FH99"/>
          <cell r="FI99"/>
          <cell r="FJ99">
            <v>0</v>
          </cell>
          <cell r="FK99">
            <v>0</v>
          </cell>
          <cell r="FL99"/>
          <cell r="FM99"/>
          <cell r="FN99"/>
          <cell r="FO99"/>
          <cell r="FP99"/>
          <cell r="FQ99"/>
          <cell r="FR99">
            <v>0</v>
          </cell>
          <cell r="FS99">
            <v>0</v>
          </cell>
          <cell r="FU99">
            <v>94</v>
          </cell>
          <cell r="FV99">
            <v>0</v>
          </cell>
          <cell r="FW99">
            <v>1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K99">
            <v>94</v>
          </cell>
          <cell r="GL99">
            <v>3.0000000000000001E-3</v>
          </cell>
          <cell r="GM99">
            <v>0.04</v>
          </cell>
          <cell r="GN99"/>
        </row>
        <row r="100">
          <cell r="AD100">
            <v>94</v>
          </cell>
          <cell r="AE100">
            <v>0.8</v>
          </cell>
          <cell r="AF100">
            <v>0.8</v>
          </cell>
          <cell r="DZ100">
            <v>95</v>
          </cell>
          <cell r="EA100">
            <v>0</v>
          </cell>
          <cell r="EB100">
            <v>0</v>
          </cell>
          <cell r="ED100">
            <v>94</v>
          </cell>
          <cell r="EE100">
            <v>0</v>
          </cell>
          <cell r="EF100"/>
          <cell r="EG100">
            <v>0</v>
          </cell>
          <cell r="EH100"/>
          <cell r="EI100">
            <v>0</v>
          </cell>
          <cell r="EJ100"/>
          <cell r="EK100"/>
          <cell r="EL100"/>
          <cell r="EM100"/>
          <cell r="EN100"/>
          <cell r="EP100">
            <v>95</v>
          </cell>
          <cell r="EQ100"/>
          <cell r="ER100"/>
          <cell r="ES100"/>
          <cell r="ET100"/>
          <cell r="EU100"/>
          <cell r="EV100"/>
          <cell r="EW100"/>
          <cell r="EX100"/>
          <cell r="EY100"/>
          <cell r="EZ100"/>
          <cell r="FA100"/>
          <cell r="FB100"/>
          <cell r="FC100"/>
          <cell r="FD100"/>
          <cell r="FE100"/>
          <cell r="FF100"/>
          <cell r="FG100"/>
          <cell r="FH100"/>
          <cell r="FI100"/>
          <cell r="FJ100">
            <v>0</v>
          </cell>
          <cell r="FK100">
            <v>0</v>
          </cell>
          <cell r="FL100"/>
          <cell r="FM100"/>
          <cell r="FN100"/>
          <cell r="FO100"/>
          <cell r="FP100"/>
          <cell r="FQ100"/>
          <cell r="FR100">
            <v>0</v>
          </cell>
          <cell r="FS100">
            <v>0</v>
          </cell>
          <cell r="FU100">
            <v>95</v>
          </cell>
          <cell r="FV100">
            <v>0</v>
          </cell>
          <cell r="FW100">
            <v>1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K100">
            <v>95</v>
          </cell>
          <cell r="GL100">
            <v>3.0000000000000001E-3</v>
          </cell>
          <cell r="GM100">
            <v>0.04</v>
          </cell>
          <cell r="GN100"/>
        </row>
        <row r="101">
          <cell r="AD101">
            <v>95</v>
          </cell>
          <cell r="AE101">
            <v>0.8</v>
          </cell>
          <cell r="AF101">
            <v>0.8</v>
          </cell>
          <cell r="DZ101">
            <v>96</v>
          </cell>
          <cell r="EA101">
            <v>0</v>
          </cell>
          <cell r="EB101">
            <v>0</v>
          </cell>
          <cell r="ED101">
            <v>95</v>
          </cell>
          <cell r="EE101">
            <v>0</v>
          </cell>
          <cell r="EF101"/>
          <cell r="EG101">
            <v>0</v>
          </cell>
          <cell r="EH101"/>
          <cell r="EI101">
            <v>0</v>
          </cell>
          <cell r="EJ101"/>
          <cell r="EK101"/>
          <cell r="EL101"/>
          <cell r="EM101"/>
          <cell r="EN101"/>
          <cell r="EP101">
            <v>96</v>
          </cell>
          <cell r="EQ101"/>
          <cell r="ER101"/>
          <cell r="ES101"/>
          <cell r="ET101"/>
          <cell r="EU101"/>
          <cell r="EV101"/>
          <cell r="EW101"/>
          <cell r="EX101"/>
          <cell r="EY101"/>
          <cell r="EZ101"/>
          <cell r="FA101"/>
          <cell r="FB101"/>
          <cell r="FC101"/>
          <cell r="FD101"/>
          <cell r="FE101"/>
          <cell r="FF101"/>
          <cell r="FG101"/>
          <cell r="FH101"/>
          <cell r="FI101"/>
          <cell r="FJ101">
            <v>0</v>
          </cell>
          <cell r="FK101">
            <v>0</v>
          </cell>
          <cell r="FL101"/>
          <cell r="FM101"/>
          <cell r="FN101"/>
          <cell r="FO101"/>
          <cell r="FP101"/>
          <cell r="FQ101"/>
          <cell r="FR101">
            <v>0</v>
          </cell>
          <cell r="FS101">
            <v>0</v>
          </cell>
          <cell r="FU101">
            <v>96</v>
          </cell>
          <cell r="FV101">
            <v>0</v>
          </cell>
          <cell r="FW101">
            <v>1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K101">
            <v>96</v>
          </cell>
          <cell r="GL101">
            <v>3.0000000000000001E-3</v>
          </cell>
          <cell r="GM101">
            <v>0.04</v>
          </cell>
          <cell r="GN101"/>
        </row>
        <row r="102">
          <cell r="AD102">
            <v>96</v>
          </cell>
          <cell r="AE102">
            <v>0.8</v>
          </cell>
          <cell r="AF102">
            <v>0.8</v>
          </cell>
          <cell r="DZ102">
            <v>97</v>
          </cell>
          <cell r="EA102">
            <v>0</v>
          </cell>
          <cell r="EB102">
            <v>0</v>
          </cell>
          <cell r="ED102">
            <v>96</v>
          </cell>
          <cell r="EE102">
            <v>0</v>
          </cell>
          <cell r="EF102"/>
          <cell r="EG102">
            <v>0</v>
          </cell>
          <cell r="EH102"/>
          <cell r="EI102">
            <v>0</v>
          </cell>
          <cell r="EJ102"/>
          <cell r="EK102"/>
          <cell r="EL102"/>
          <cell r="EM102"/>
          <cell r="EN102"/>
          <cell r="EP102">
            <v>97</v>
          </cell>
          <cell r="EQ102"/>
          <cell r="ER102"/>
          <cell r="ES102"/>
          <cell r="ET102"/>
          <cell r="EU102"/>
          <cell r="EV102"/>
          <cell r="EW102"/>
          <cell r="EX102"/>
          <cell r="EY102"/>
          <cell r="EZ102"/>
          <cell r="FA102"/>
          <cell r="FB102"/>
          <cell r="FC102"/>
          <cell r="FD102"/>
          <cell r="FE102"/>
          <cell r="FF102"/>
          <cell r="FG102"/>
          <cell r="FH102"/>
          <cell r="FI102"/>
          <cell r="FJ102">
            <v>0</v>
          </cell>
          <cell r="FK102">
            <v>0</v>
          </cell>
          <cell r="FL102"/>
          <cell r="FM102"/>
          <cell r="FN102"/>
          <cell r="FO102"/>
          <cell r="FP102"/>
          <cell r="FQ102"/>
          <cell r="FR102">
            <v>0</v>
          </cell>
          <cell r="FS102">
            <v>0</v>
          </cell>
          <cell r="FU102">
            <v>97</v>
          </cell>
          <cell r="FV102">
            <v>0</v>
          </cell>
          <cell r="FW102">
            <v>1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1</v>
          </cell>
          <cell r="GK102">
            <v>97</v>
          </cell>
          <cell r="GL102">
            <v>3.0000000000000001E-3</v>
          </cell>
          <cell r="GM102">
            <v>0.04</v>
          </cell>
          <cell r="GN102"/>
        </row>
        <row r="103">
          <cell r="AD103">
            <v>97</v>
          </cell>
          <cell r="AE103">
            <v>0.8</v>
          </cell>
          <cell r="AF103">
            <v>0.8</v>
          </cell>
          <cell r="DZ103">
            <v>98</v>
          </cell>
          <cell r="EA103">
            <v>0</v>
          </cell>
          <cell r="EB103">
            <v>0</v>
          </cell>
          <cell r="ED103">
            <v>97</v>
          </cell>
          <cell r="EE103">
            <v>0</v>
          </cell>
          <cell r="EF103"/>
          <cell r="EG103">
            <v>0</v>
          </cell>
          <cell r="EH103"/>
          <cell r="EI103">
            <v>0</v>
          </cell>
          <cell r="EJ103"/>
          <cell r="EK103"/>
          <cell r="EL103"/>
          <cell r="EM103"/>
          <cell r="EN103"/>
          <cell r="EP103">
            <v>98</v>
          </cell>
          <cell r="EQ103"/>
          <cell r="ER103"/>
          <cell r="ES103"/>
          <cell r="ET103"/>
          <cell r="EU103"/>
          <cell r="EV103"/>
          <cell r="EW103"/>
          <cell r="EX103"/>
          <cell r="EY103"/>
          <cell r="EZ103"/>
          <cell r="FA103"/>
          <cell r="FB103"/>
          <cell r="FC103"/>
          <cell r="FD103"/>
          <cell r="FE103"/>
          <cell r="FF103"/>
          <cell r="FG103"/>
          <cell r="FH103"/>
          <cell r="FI103"/>
          <cell r="FJ103">
            <v>0</v>
          </cell>
          <cell r="FK103">
            <v>0</v>
          </cell>
          <cell r="FL103"/>
          <cell r="FM103"/>
          <cell r="FN103"/>
          <cell r="FO103"/>
          <cell r="FP103"/>
          <cell r="FQ103"/>
          <cell r="FR103">
            <v>0</v>
          </cell>
          <cell r="FS103">
            <v>0</v>
          </cell>
          <cell r="FU103">
            <v>98</v>
          </cell>
          <cell r="FV103">
            <v>0</v>
          </cell>
          <cell r="FW103">
            <v>1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K103">
            <v>98</v>
          </cell>
          <cell r="GL103">
            <v>3.0000000000000001E-3</v>
          </cell>
          <cell r="GM103">
            <v>0.04</v>
          </cell>
          <cell r="GN103"/>
        </row>
        <row r="104">
          <cell r="AD104">
            <v>98</v>
          </cell>
          <cell r="AE104">
            <v>0.8</v>
          </cell>
          <cell r="AF104">
            <v>0.8</v>
          </cell>
          <cell r="DZ104">
            <v>99</v>
          </cell>
          <cell r="EA104">
            <v>0</v>
          </cell>
          <cell r="EB104">
            <v>0</v>
          </cell>
          <cell r="ED104">
            <v>98</v>
          </cell>
          <cell r="EE104">
            <v>0</v>
          </cell>
          <cell r="EF104"/>
          <cell r="EG104">
            <v>0</v>
          </cell>
          <cell r="EH104"/>
          <cell r="EI104">
            <v>0</v>
          </cell>
          <cell r="EJ104"/>
          <cell r="EK104"/>
          <cell r="EL104"/>
          <cell r="EM104"/>
          <cell r="EN104"/>
          <cell r="EP104">
            <v>99</v>
          </cell>
          <cell r="EQ104"/>
          <cell r="ER104"/>
          <cell r="ES104"/>
          <cell r="ET104"/>
          <cell r="EU104"/>
          <cell r="EV104"/>
          <cell r="EW104"/>
          <cell r="EX104"/>
          <cell r="EY104"/>
          <cell r="EZ104"/>
          <cell r="FA104"/>
          <cell r="FB104"/>
          <cell r="FC104"/>
          <cell r="FD104"/>
          <cell r="FE104"/>
          <cell r="FF104"/>
          <cell r="FG104"/>
          <cell r="FH104"/>
          <cell r="FI104"/>
          <cell r="FJ104">
            <v>0</v>
          </cell>
          <cell r="FK104">
            <v>0</v>
          </cell>
          <cell r="FL104"/>
          <cell r="FM104"/>
          <cell r="FN104"/>
          <cell r="FO104"/>
          <cell r="FP104"/>
          <cell r="FQ104"/>
          <cell r="FR104">
            <v>0</v>
          </cell>
          <cell r="FS104">
            <v>0</v>
          </cell>
          <cell r="FU104">
            <v>99</v>
          </cell>
          <cell r="FV104">
            <v>0</v>
          </cell>
          <cell r="FW104">
            <v>1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K104">
            <v>99</v>
          </cell>
          <cell r="GL104">
            <v>3.0000000000000001E-3</v>
          </cell>
          <cell r="GM104">
            <v>0.04</v>
          </cell>
          <cell r="GN104"/>
        </row>
        <row r="105">
          <cell r="AD105">
            <v>99</v>
          </cell>
          <cell r="AE105">
            <v>0.8</v>
          </cell>
          <cell r="AF105">
            <v>0.8</v>
          </cell>
          <cell r="DZ105">
            <v>100</v>
          </cell>
          <cell r="EA105">
            <v>0</v>
          </cell>
          <cell r="EB105">
            <v>0</v>
          </cell>
          <cell r="ED105">
            <v>99</v>
          </cell>
          <cell r="EE105">
            <v>0</v>
          </cell>
          <cell r="EF105"/>
          <cell r="EG105">
            <v>0</v>
          </cell>
          <cell r="EH105"/>
          <cell r="EI105">
            <v>0</v>
          </cell>
          <cell r="EJ105"/>
          <cell r="EK105"/>
          <cell r="EL105"/>
          <cell r="EM105"/>
          <cell r="EN105"/>
          <cell r="EP105">
            <v>100</v>
          </cell>
          <cell r="EQ105"/>
          <cell r="ER105"/>
          <cell r="ES105"/>
          <cell r="ET105"/>
          <cell r="EU105"/>
          <cell r="EV105"/>
          <cell r="EW105"/>
          <cell r="EX105"/>
          <cell r="EY105"/>
          <cell r="EZ105"/>
          <cell r="FA105"/>
          <cell r="FB105"/>
          <cell r="FC105"/>
          <cell r="FD105"/>
          <cell r="FE105"/>
          <cell r="FF105"/>
          <cell r="FG105"/>
          <cell r="FH105"/>
          <cell r="FI105"/>
          <cell r="FJ105">
            <v>0</v>
          </cell>
          <cell r="FK105">
            <v>0</v>
          </cell>
          <cell r="FL105"/>
          <cell r="FM105"/>
          <cell r="FN105"/>
          <cell r="FO105"/>
          <cell r="FP105"/>
          <cell r="FQ105"/>
          <cell r="FR105">
            <v>0</v>
          </cell>
          <cell r="FS105">
            <v>0</v>
          </cell>
          <cell r="FU105">
            <v>100</v>
          </cell>
          <cell r="FV105">
            <v>0</v>
          </cell>
          <cell r="FW105">
            <v>1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K105">
            <v>100</v>
          </cell>
          <cell r="GL105">
            <v>3.0000000000000001E-3</v>
          </cell>
          <cell r="GM105">
            <v>0.04</v>
          </cell>
          <cell r="GN105"/>
        </row>
        <row r="106">
          <cell r="AD106">
            <v>100</v>
          </cell>
          <cell r="AE106">
            <v>0.8</v>
          </cell>
          <cell r="AF106">
            <v>0.8</v>
          </cell>
          <cell r="DZ106">
            <v>101</v>
          </cell>
          <cell r="EA106">
            <v>0</v>
          </cell>
          <cell r="EB106">
            <v>0</v>
          </cell>
          <cell r="ED106">
            <v>100</v>
          </cell>
          <cell r="EE106">
            <v>0</v>
          </cell>
          <cell r="EF106"/>
          <cell r="EG106">
            <v>0</v>
          </cell>
          <cell r="EH106"/>
          <cell r="EI106">
            <v>0</v>
          </cell>
          <cell r="EJ106"/>
          <cell r="EK106"/>
          <cell r="EL106"/>
          <cell r="EM106"/>
          <cell r="EN106"/>
          <cell r="EP106">
            <v>101</v>
          </cell>
          <cell r="EQ106"/>
          <cell r="ER106"/>
          <cell r="ES106"/>
          <cell r="ET106"/>
          <cell r="EU106"/>
          <cell r="EV106"/>
          <cell r="EW106"/>
          <cell r="EX106"/>
          <cell r="EY106"/>
          <cell r="EZ106"/>
          <cell r="FA106"/>
          <cell r="FB106"/>
          <cell r="FC106"/>
          <cell r="FD106"/>
          <cell r="FE106"/>
          <cell r="FF106"/>
          <cell r="FG106"/>
          <cell r="FH106"/>
          <cell r="FI106"/>
          <cell r="FJ106">
            <v>0</v>
          </cell>
          <cell r="FK106">
            <v>0</v>
          </cell>
          <cell r="FL106"/>
          <cell r="FM106"/>
          <cell r="FN106"/>
          <cell r="FO106"/>
          <cell r="FP106"/>
          <cell r="FQ106"/>
          <cell r="FR106">
            <v>0</v>
          </cell>
          <cell r="FS106">
            <v>0</v>
          </cell>
          <cell r="FU106">
            <v>101</v>
          </cell>
          <cell r="FV106">
            <v>0</v>
          </cell>
          <cell r="FW106">
            <v>1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K106">
            <v>101</v>
          </cell>
          <cell r="GL106">
            <v>3.0000000000000001E-3</v>
          </cell>
          <cell r="GM106">
            <v>0.04</v>
          </cell>
          <cell r="GN106"/>
        </row>
        <row r="107">
          <cell r="AD107">
            <v>101</v>
          </cell>
          <cell r="AE107">
            <v>0.8</v>
          </cell>
          <cell r="AF107">
            <v>0.8</v>
          </cell>
          <cell r="DZ107">
            <v>102</v>
          </cell>
          <cell r="EA107">
            <v>0</v>
          </cell>
          <cell r="EB107">
            <v>0</v>
          </cell>
          <cell r="ED107">
            <v>101</v>
          </cell>
          <cell r="EE107">
            <v>0</v>
          </cell>
          <cell r="EF107"/>
          <cell r="EG107">
            <v>0</v>
          </cell>
          <cell r="EH107"/>
          <cell r="EI107">
            <v>0</v>
          </cell>
          <cell r="EJ107"/>
          <cell r="EK107"/>
          <cell r="EL107"/>
          <cell r="EM107"/>
          <cell r="EN107"/>
          <cell r="EP107">
            <v>102</v>
          </cell>
          <cell r="EQ107"/>
          <cell r="ER107"/>
          <cell r="ES107"/>
          <cell r="ET107"/>
          <cell r="EU107"/>
          <cell r="EV107"/>
          <cell r="EW107"/>
          <cell r="EX107"/>
          <cell r="EY107"/>
          <cell r="EZ107"/>
          <cell r="FA107"/>
          <cell r="FB107"/>
          <cell r="FC107"/>
          <cell r="FD107"/>
          <cell r="FE107"/>
          <cell r="FF107"/>
          <cell r="FG107"/>
          <cell r="FH107"/>
          <cell r="FI107"/>
          <cell r="FJ107">
            <v>0</v>
          </cell>
          <cell r="FK107">
            <v>0</v>
          </cell>
          <cell r="FL107"/>
          <cell r="FM107"/>
          <cell r="FN107"/>
          <cell r="FO107"/>
          <cell r="FP107"/>
          <cell r="FQ107"/>
          <cell r="FR107">
            <v>0</v>
          </cell>
          <cell r="FS107">
            <v>0</v>
          </cell>
          <cell r="FU107">
            <v>102</v>
          </cell>
          <cell r="FV107">
            <v>0</v>
          </cell>
          <cell r="FW107">
            <v>1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K107">
            <v>102</v>
          </cell>
          <cell r="GL107">
            <v>3.0000000000000001E-3</v>
          </cell>
          <cell r="GM107">
            <v>0.04</v>
          </cell>
          <cell r="GN107"/>
        </row>
        <row r="108">
          <cell r="AD108">
            <v>102</v>
          </cell>
          <cell r="AE108">
            <v>0.8</v>
          </cell>
          <cell r="AF108">
            <v>0.8</v>
          </cell>
          <cell r="DZ108">
            <v>103</v>
          </cell>
          <cell r="EA108">
            <v>0</v>
          </cell>
          <cell r="EB108">
            <v>0</v>
          </cell>
          <cell r="ED108">
            <v>102</v>
          </cell>
          <cell r="EE108">
            <v>0</v>
          </cell>
          <cell r="EF108"/>
          <cell r="EG108">
            <v>0</v>
          </cell>
          <cell r="EH108"/>
          <cell r="EI108">
            <v>0</v>
          </cell>
          <cell r="EJ108"/>
          <cell r="EK108"/>
          <cell r="EL108"/>
          <cell r="EM108"/>
          <cell r="EN108"/>
          <cell r="EP108">
            <v>103</v>
          </cell>
          <cell r="EQ108"/>
          <cell r="ER108"/>
          <cell r="ES108"/>
          <cell r="ET108"/>
          <cell r="EU108"/>
          <cell r="EV108"/>
          <cell r="EW108"/>
          <cell r="EX108"/>
          <cell r="EY108"/>
          <cell r="EZ108"/>
          <cell r="FA108"/>
          <cell r="FB108"/>
          <cell r="FC108"/>
          <cell r="FD108"/>
          <cell r="FE108"/>
          <cell r="FF108"/>
          <cell r="FG108"/>
          <cell r="FH108"/>
          <cell r="FI108"/>
          <cell r="FJ108">
            <v>0</v>
          </cell>
          <cell r="FK108">
            <v>0</v>
          </cell>
          <cell r="FL108"/>
          <cell r="FM108"/>
          <cell r="FN108"/>
          <cell r="FO108"/>
          <cell r="FP108"/>
          <cell r="FQ108"/>
          <cell r="FR108">
            <v>0</v>
          </cell>
          <cell r="FS108">
            <v>0</v>
          </cell>
          <cell r="FU108">
            <v>103</v>
          </cell>
          <cell r="FV108">
            <v>0</v>
          </cell>
          <cell r="FW108">
            <v>1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K108">
            <v>103</v>
          </cell>
          <cell r="GL108">
            <v>3.0000000000000001E-3</v>
          </cell>
          <cell r="GM108">
            <v>0.04</v>
          </cell>
          <cell r="GN108"/>
        </row>
        <row r="109">
          <cell r="AD109">
            <v>103</v>
          </cell>
          <cell r="AE109">
            <v>0.8</v>
          </cell>
          <cell r="AF109">
            <v>0.8</v>
          </cell>
          <cell r="DZ109">
            <v>104</v>
          </cell>
          <cell r="EA109">
            <v>0</v>
          </cell>
          <cell r="EB109">
            <v>0</v>
          </cell>
          <cell r="ED109">
            <v>103</v>
          </cell>
          <cell r="EE109">
            <v>0</v>
          </cell>
          <cell r="EF109"/>
          <cell r="EG109">
            <v>0</v>
          </cell>
          <cell r="EH109"/>
          <cell r="EI109">
            <v>0</v>
          </cell>
          <cell r="EJ109"/>
          <cell r="EK109"/>
          <cell r="EL109"/>
          <cell r="EM109"/>
          <cell r="EN109"/>
          <cell r="EP109">
            <v>104</v>
          </cell>
          <cell r="EQ109"/>
          <cell r="ER109"/>
          <cell r="ES109"/>
          <cell r="ET109"/>
          <cell r="EU109"/>
          <cell r="EV109"/>
          <cell r="EW109"/>
          <cell r="EX109"/>
          <cell r="EY109"/>
          <cell r="EZ109"/>
          <cell r="FA109"/>
          <cell r="FB109"/>
          <cell r="FC109"/>
          <cell r="FD109"/>
          <cell r="FE109"/>
          <cell r="FF109"/>
          <cell r="FG109"/>
          <cell r="FH109"/>
          <cell r="FI109"/>
          <cell r="FJ109">
            <v>0</v>
          </cell>
          <cell r="FK109">
            <v>0</v>
          </cell>
          <cell r="FL109"/>
          <cell r="FM109"/>
          <cell r="FN109"/>
          <cell r="FO109"/>
          <cell r="FP109"/>
          <cell r="FQ109"/>
          <cell r="FR109">
            <v>0</v>
          </cell>
          <cell r="FS109">
            <v>0</v>
          </cell>
          <cell r="FU109">
            <v>104</v>
          </cell>
          <cell r="FV109">
            <v>0</v>
          </cell>
          <cell r="FW109">
            <v>1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K109">
            <v>104</v>
          </cell>
          <cell r="GL109">
            <v>3.0000000000000001E-3</v>
          </cell>
          <cell r="GM109">
            <v>0.04</v>
          </cell>
          <cell r="GN109"/>
        </row>
        <row r="110">
          <cell r="AD110">
            <v>104</v>
          </cell>
          <cell r="AE110">
            <v>0.8</v>
          </cell>
          <cell r="AF110">
            <v>0.8</v>
          </cell>
          <cell r="DZ110">
            <v>105</v>
          </cell>
          <cell r="EA110">
            <v>0</v>
          </cell>
          <cell r="EB110">
            <v>0</v>
          </cell>
          <cell r="ED110">
            <v>104</v>
          </cell>
          <cell r="EE110">
            <v>0</v>
          </cell>
          <cell r="EF110"/>
          <cell r="EG110">
            <v>0</v>
          </cell>
          <cell r="EH110"/>
          <cell r="EI110">
            <v>0</v>
          </cell>
          <cell r="EJ110"/>
          <cell r="EK110"/>
          <cell r="EL110"/>
          <cell r="EM110"/>
          <cell r="EN110"/>
          <cell r="EP110">
            <v>105</v>
          </cell>
          <cell r="EQ110"/>
          <cell r="ER110"/>
          <cell r="ES110"/>
          <cell r="ET110"/>
          <cell r="EU110"/>
          <cell r="EV110"/>
          <cell r="EW110"/>
          <cell r="EX110"/>
          <cell r="EY110"/>
          <cell r="EZ110"/>
          <cell r="FA110"/>
          <cell r="FB110"/>
          <cell r="FC110"/>
          <cell r="FD110"/>
          <cell r="FE110"/>
          <cell r="FF110"/>
          <cell r="FG110"/>
          <cell r="FH110"/>
          <cell r="FI110"/>
          <cell r="FJ110">
            <v>0</v>
          </cell>
          <cell r="FK110">
            <v>0</v>
          </cell>
          <cell r="FL110"/>
          <cell r="FM110"/>
          <cell r="FN110"/>
          <cell r="FO110"/>
          <cell r="FP110"/>
          <cell r="FQ110"/>
          <cell r="FR110">
            <v>0</v>
          </cell>
          <cell r="FS110">
            <v>0</v>
          </cell>
          <cell r="FU110">
            <v>105</v>
          </cell>
          <cell r="FV110">
            <v>0</v>
          </cell>
          <cell r="FW110">
            <v>1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K110">
            <v>105</v>
          </cell>
          <cell r="GL110">
            <v>3.0000000000000001E-3</v>
          </cell>
          <cell r="GM110">
            <v>0.04</v>
          </cell>
          <cell r="GN110"/>
        </row>
        <row r="111">
          <cell r="AD111">
            <v>105</v>
          </cell>
          <cell r="AE111">
            <v>0.8</v>
          </cell>
          <cell r="AF111">
            <v>0.8</v>
          </cell>
          <cell r="DZ111">
            <v>106</v>
          </cell>
          <cell r="EA111">
            <v>0</v>
          </cell>
          <cell r="EB111">
            <v>0</v>
          </cell>
          <cell r="ED111">
            <v>105</v>
          </cell>
          <cell r="EE111">
            <v>0</v>
          </cell>
          <cell r="EF111"/>
          <cell r="EG111">
            <v>0</v>
          </cell>
          <cell r="EH111"/>
          <cell r="EI111">
            <v>0</v>
          </cell>
          <cell r="EJ111"/>
          <cell r="EK111"/>
          <cell r="EL111"/>
          <cell r="EM111"/>
          <cell r="EN111"/>
          <cell r="EP111">
            <v>106</v>
          </cell>
          <cell r="EQ111"/>
          <cell r="ER111"/>
          <cell r="ES111"/>
          <cell r="ET111"/>
          <cell r="EU111"/>
          <cell r="EV111"/>
          <cell r="EW111"/>
          <cell r="EX111"/>
          <cell r="EY111"/>
          <cell r="EZ111"/>
          <cell r="FA111"/>
          <cell r="FB111"/>
          <cell r="FC111"/>
          <cell r="FD111"/>
          <cell r="FE111"/>
          <cell r="FF111"/>
          <cell r="FG111"/>
          <cell r="FH111"/>
          <cell r="FI111"/>
          <cell r="FJ111">
            <v>0</v>
          </cell>
          <cell r="FK111">
            <v>0</v>
          </cell>
          <cell r="FL111"/>
          <cell r="FM111"/>
          <cell r="FN111"/>
          <cell r="FO111"/>
          <cell r="FP111"/>
          <cell r="FQ111"/>
          <cell r="FR111">
            <v>0</v>
          </cell>
          <cell r="FS111">
            <v>0</v>
          </cell>
          <cell r="FU111">
            <v>106</v>
          </cell>
          <cell r="FV111">
            <v>0</v>
          </cell>
          <cell r="FW111">
            <v>1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K111">
            <v>106</v>
          </cell>
          <cell r="GL111">
            <v>3.0000000000000001E-3</v>
          </cell>
          <cell r="GM111">
            <v>0.04</v>
          </cell>
          <cell r="GN111"/>
        </row>
        <row r="112">
          <cell r="AD112">
            <v>106</v>
          </cell>
          <cell r="AE112">
            <v>0.8</v>
          </cell>
          <cell r="AF112">
            <v>0.8</v>
          </cell>
          <cell r="DZ112">
            <v>107</v>
          </cell>
          <cell r="EA112">
            <v>0</v>
          </cell>
          <cell r="EB112">
            <v>0</v>
          </cell>
          <cell r="ED112">
            <v>106</v>
          </cell>
          <cell r="EE112">
            <v>0</v>
          </cell>
          <cell r="EF112"/>
          <cell r="EG112">
            <v>0</v>
          </cell>
          <cell r="EH112"/>
          <cell r="EI112">
            <v>0</v>
          </cell>
          <cell r="EJ112"/>
          <cell r="EK112"/>
          <cell r="EL112"/>
          <cell r="EM112"/>
          <cell r="EN112"/>
          <cell r="EP112">
            <v>107</v>
          </cell>
          <cell r="EQ112"/>
          <cell r="ER112"/>
          <cell r="ES112"/>
          <cell r="ET112"/>
          <cell r="EU112"/>
          <cell r="EV112"/>
          <cell r="EW112"/>
          <cell r="EX112"/>
          <cell r="EY112"/>
          <cell r="EZ112"/>
          <cell r="FA112"/>
          <cell r="FB112"/>
          <cell r="FC112"/>
          <cell r="FD112"/>
          <cell r="FE112"/>
          <cell r="FF112"/>
          <cell r="FG112"/>
          <cell r="FH112"/>
          <cell r="FI112"/>
          <cell r="FJ112">
            <v>0</v>
          </cell>
          <cell r="FK112">
            <v>0</v>
          </cell>
          <cell r="FL112"/>
          <cell r="FM112"/>
          <cell r="FN112"/>
          <cell r="FO112"/>
          <cell r="FP112"/>
          <cell r="FQ112"/>
          <cell r="FR112">
            <v>0</v>
          </cell>
          <cell r="FS112">
            <v>0</v>
          </cell>
          <cell r="FU112">
            <v>107</v>
          </cell>
          <cell r="FV112">
            <v>0</v>
          </cell>
          <cell r="FW112">
            <v>1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K112">
            <v>107</v>
          </cell>
          <cell r="GL112">
            <v>3.0000000000000001E-3</v>
          </cell>
          <cell r="GM112">
            <v>0.04</v>
          </cell>
          <cell r="GN112"/>
        </row>
        <row r="113">
          <cell r="AD113">
            <v>107</v>
          </cell>
          <cell r="AE113">
            <v>0.8</v>
          </cell>
          <cell r="AF113">
            <v>0.8</v>
          </cell>
          <cell r="DZ113">
            <v>108</v>
          </cell>
          <cell r="EA113">
            <v>0</v>
          </cell>
          <cell r="EB113">
            <v>0</v>
          </cell>
          <cell r="ED113">
            <v>107</v>
          </cell>
          <cell r="EE113">
            <v>0</v>
          </cell>
          <cell r="EF113"/>
          <cell r="EG113">
            <v>0</v>
          </cell>
          <cell r="EH113"/>
          <cell r="EI113">
            <v>0</v>
          </cell>
          <cell r="EJ113"/>
          <cell r="EK113"/>
          <cell r="EL113"/>
          <cell r="EM113"/>
          <cell r="EN113"/>
          <cell r="EP113">
            <v>108</v>
          </cell>
          <cell r="EQ113"/>
          <cell r="ER113"/>
          <cell r="ES113"/>
          <cell r="ET113"/>
          <cell r="EU113"/>
          <cell r="EV113"/>
          <cell r="EW113"/>
          <cell r="EX113"/>
          <cell r="EY113"/>
          <cell r="EZ113"/>
          <cell r="FA113"/>
          <cell r="FB113"/>
          <cell r="FC113"/>
          <cell r="FD113"/>
          <cell r="FE113"/>
          <cell r="FF113"/>
          <cell r="FG113"/>
          <cell r="FH113"/>
          <cell r="FI113"/>
          <cell r="FJ113">
            <v>0</v>
          </cell>
          <cell r="FK113">
            <v>0</v>
          </cell>
          <cell r="FL113"/>
          <cell r="FM113"/>
          <cell r="FN113"/>
          <cell r="FO113"/>
          <cell r="FP113"/>
          <cell r="FQ113"/>
          <cell r="FR113">
            <v>0</v>
          </cell>
          <cell r="FS113">
            <v>0</v>
          </cell>
          <cell r="FU113">
            <v>108</v>
          </cell>
          <cell r="FV113">
            <v>0</v>
          </cell>
          <cell r="FW113">
            <v>1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K113">
            <v>108</v>
          </cell>
          <cell r="GL113">
            <v>3.0000000000000001E-3</v>
          </cell>
          <cell r="GM113">
            <v>0.04</v>
          </cell>
          <cell r="GN113"/>
        </row>
        <row r="114">
          <cell r="AD114">
            <v>108</v>
          </cell>
          <cell r="AE114">
            <v>0.8</v>
          </cell>
          <cell r="AF114">
            <v>0.8</v>
          </cell>
          <cell r="DZ114">
            <v>109</v>
          </cell>
          <cell r="EA114">
            <v>0</v>
          </cell>
          <cell r="EB114">
            <v>0</v>
          </cell>
          <cell r="ED114">
            <v>108</v>
          </cell>
          <cell r="EE114">
            <v>0</v>
          </cell>
          <cell r="EF114"/>
          <cell r="EG114">
            <v>0</v>
          </cell>
          <cell r="EH114"/>
          <cell r="EI114">
            <v>0</v>
          </cell>
          <cell r="EJ114"/>
          <cell r="EK114"/>
          <cell r="EL114"/>
          <cell r="EM114"/>
          <cell r="EN114"/>
          <cell r="EP114">
            <v>109</v>
          </cell>
          <cell r="EQ114"/>
          <cell r="ER114"/>
          <cell r="ES114"/>
          <cell r="ET114"/>
          <cell r="EU114"/>
          <cell r="EV114"/>
          <cell r="EW114"/>
          <cell r="EX114"/>
          <cell r="EY114"/>
          <cell r="EZ114"/>
          <cell r="FA114"/>
          <cell r="FB114"/>
          <cell r="FC114"/>
          <cell r="FD114"/>
          <cell r="FE114"/>
          <cell r="FF114"/>
          <cell r="FG114"/>
          <cell r="FH114"/>
          <cell r="FI114"/>
          <cell r="FJ114">
            <v>0</v>
          </cell>
          <cell r="FK114">
            <v>0</v>
          </cell>
          <cell r="FL114"/>
          <cell r="FM114"/>
          <cell r="FN114"/>
          <cell r="FO114"/>
          <cell r="FP114"/>
          <cell r="FQ114"/>
          <cell r="FR114">
            <v>0</v>
          </cell>
          <cell r="FS114">
            <v>0</v>
          </cell>
          <cell r="FU114">
            <v>109</v>
          </cell>
          <cell r="FV114">
            <v>0</v>
          </cell>
          <cell r="FW114">
            <v>1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1</v>
          </cell>
          <cell r="GK114">
            <v>109</v>
          </cell>
          <cell r="GL114">
            <v>3.0000000000000001E-3</v>
          </cell>
          <cell r="GM114">
            <v>0.04</v>
          </cell>
          <cell r="GN114"/>
        </row>
        <row r="115">
          <cell r="AD115">
            <v>109</v>
          </cell>
          <cell r="AE115">
            <v>0.8</v>
          </cell>
          <cell r="AF115">
            <v>0.8</v>
          </cell>
          <cell r="DZ115">
            <v>110</v>
          </cell>
          <cell r="EA115">
            <v>0</v>
          </cell>
          <cell r="EB115">
            <v>0</v>
          </cell>
          <cell r="ED115">
            <v>109</v>
          </cell>
          <cell r="EE115">
            <v>0</v>
          </cell>
          <cell r="EF115"/>
          <cell r="EG115">
            <v>0</v>
          </cell>
          <cell r="EH115"/>
          <cell r="EI115">
            <v>0</v>
          </cell>
          <cell r="EJ115"/>
          <cell r="EK115"/>
          <cell r="EL115"/>
          <cell r="EM115"/>
          <cell r="EN115"/>
          <cell r="EP115">
            <v>110</v>
          </cell>
          <cell r="EQ115"/>
          <cell r="ER115"/>
          <cell r="ES115"/>
          <cell r="ET115"/>
          <cell r="EU115"/>
          <cell r="EV115"/>
          <cell r="EW115"/>
          <cell r="EX115"/>
          <cell r="EY115"/>
          <cell r="EZ115"/>
          <cell r="FA115"/>
          <cell r="FB115"/>
          <cell r="FC115"/>
          <cell r="FD115"/>
          <cell r="FE115"/>
          <cell r="FF115"/>
          <cell r="FG115"/>
          <cell r="FH115"/>
          <cell r="FI115"/>
          <cell r="FJ115">
            <v>0</v>
          </cell>
          <cell r="FK115">
            <v>0</v>
          </cell>
          <cell r="FL115"/>
          <cell r="FM115"/>
          <cell r="FN115"/>
          <cell r="FO115"/>
          <cell r="FP115"/>
          <cell r="FQ115"/>
          <cell r="FR115">
            <v>0</v>
          </cell>
          <cell r="FS115">
            <v>0</v>
          </cell>
          <cell r="FU115">
            <v>110</v>
          </cell>
          <cell r="FV115">
            <v>0</v>
          </cell>
          <cell r="FW115">
            <v>1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K115">
            <v>110</v>
          </cell>
          <cell r="GL115">
            <v>3.0000000000000001E-3</v>
          </cell>
          <cell r="GM115">
            <v>0.04</v>
          </cell>
          <cell r="GN115"/>
        </row>
        <row r="116">
          <cell r="AD116">
            <v>110</v>
          </cell>
          <cell r="AE116">
            <v>0.8</v>
          </cell>
          <cell r="AF116">
            <v>0.8</v>
          </cell>
          <cell r="DZ116">
            <v>111</v>
          </cell>
          <cell r="EA116">
            <v>0</v>
          </cell>
          <cell r="EB116">
            <v>0</v>
          </cell>
          <cell r="ED116">
            <v>110</v>
          </cell>
          <cell r="EE116">
            <v>0</v>
          </cell>
          <cell r="EF116"/>
          <cell r="EG116">
            <v>0</v>
          </cell>
          <cell r="EH116"/>
          <cell r="EI116">
            <v>0</v>
          </cell>
          <cell r="EJ116"/>
          <cell r="EK116"/>
          <cell r="EL116"/>
          <cell r="EM116"/>
          <cell r="EN116"/>
          <cell r="EP116">
            <v>111</v>
          </cell>
          <cell r="EQ116"/>
          <cell r="ER116"/>
          <cell r="ES116"/>
          <cell r="ET116"/>
          <cell r="EU116"/>
          <cell r="EV116"/>
          <cell r="EW116"/>
          <cell r="EX116"/>
          <cell r="EY116"/>
          <cell r="EZ116"/>
          <cell r="FA116"/>
          <cell r="FB116"/>
          <cell r="FC116"/>
          <cell r="FD116"/>
          <cell r="FE116"/>
          <cell r="FF116"/>
          <cell r="FG116"/>
          <cell r="FH116"/>
          <cell r="FI116"/>
          <cell r="FJ116">
            <v>0</v>
          </cell>
          <cell r="FK116">
            <v>0</v>
          </cell>
          <cell r="FL116"/>
          <cell r="FM116"/>
          <cell r="FN116"/>
          <cell r="FO116"/>
          <cell r="FP116"/>
          <cell r="FQ116"/>
          <cell r="FR116">
            <v>0</v>
          </cell>
          <cell r="FS116">
            <v>0</v>
          </cell>
          <cell r="FU116">
            <v>111</v>
          </cell>
          <cell r="FV116">
            <v>0</v>
          </cell>
          <cell r="FW116">
            <v>1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K116">
            <v>111</v>
          </cell>
          <cell r="GL116">
            <v>3.0000000000000001E-3</v>
          </cell>
          <cell r="GM116">
            <v>0.04</v>
          </cell>
          <cell r="GN116"/>
        </row>
        <row r="117">
          <cell r="AD117">
            <v>111</v>
          </cell>
          <cell r="AE117">
            <v>0.8</v>
          </cell>
          <cell r="AF117">
            <v>0.8</v>
          </cell>
          <cell r="DZ117">
            <v>112</v>
          </cell>
          <cell r="EA117">
            <v>0</v>
          </cell>
          <cell r="EB117">
            <v>0</v>
          </cell>
          <cell r="ED117">
            <v>111</v>
          </cell>
          <cell r="EE117">
            <v>0</v>
          </cell>
          <cell r="EF117"/>
          <cell r="EG117">
            <v>0</v>
          </cell>
          <cell r="EH117"/>
          <cell r="EI117">
            <v>0</v>
          </cell>
          <cell r="EJ117"/>
          <cell r="EK117"/>
          <cell r="EL117"/>
          <cell r="EM117"/>
          <cell r="EN117"/>
          <cell r="EP117">
            <v>112</v>
          </cell>
          <cell r="EQ117"/>
          <cell r="ER117"/>
          <cell r="ES117"/>
          <cell r="ET117"/>
          <cell r="EU117"/>
          <cell r="EV117"/>
          <cell r="EW117"/>
          <cell r="EX117"/>
          <cell r="EY117"/>
          <cell r="EZ117"/>
          <cell r="FA117"/>
          <cell r="FB117"/>
          <cell r="FC117"/>
          <cell r="FD117"/>
          <cell r="FE117"/>
          <cell r="FF117"/>
          <cell r="FG117"/>
          <cell r="FH117"/>
          <cell r="FI117"/>
          <cell r="FJ117">
            <v>0</v>
          </cell>
          <cell r="FK117">
            <v>0</v>
          </cell>
          <cell r="FL117"/>
          <cell r="FM117"/>
          <cell r="FN117"/>
          <cell r="FO117"/>
          <cell r="FP117"/>
          <cell r="FQ117"/>
          <cell r="FR117">
            <v>0</v>
          </cell>
          <cell r="FS117">
            <v>0</v>
          </cell>
          <cell r="FU117">
            <v>112</v>
          </cell>
          <cell r="FV117">
            <v>0</v>
          </cell>
          <cell r="FW117">
            <v>1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K117">
            <v>112</v>
          </cell>
          <cell r="GL117">
            <v>3.0000000000000001E-3</v>
          </cell>
          <cell r="GM117">
            <v>0.04</v>
          </cell>
          <cell r="GN117"/>
        </row>
        <row r="118">
          <cell r="AD118">
            <v>112</v>
          </cell>
          <cell r="AE118">
            <v>0.8</v>
          </cell>
          <cell r="AF118">
            <v>0.8</v>
          </cell>
          <cell r="DZ118">
            <v>113</v>
          </cell>
          <cell r="EA118">
            <v>0</v>
          </cell>
          <cell r="EB118">
            <v>0</v>
          </cell>
          <cell r="ED118">
            <v>112</v>
          </cell>
          <cell r="EE118">
            <v>0</v>
          </cell>
          <cell r="EF118"/>
          <cell r="EG118">
            <v>0</v>
          </cell>
          <cell r="EH118"/>
          <cell r="EI118">
            <v>0</v>
          </cell>
          <cell r="EJ118"/>
          <cell r="EK118"/>
          <cell r="EL118"/>
          <cell r="EM118"/>
          <cell r="EN118"/>
          <cell r="EP118">
            <v>113</v>
          </cell>
          <cell r="EQ118"/>
          <cell r="ER118"/>
          <cell r="ES118"/>
          <cell r="ET118"/>
          <cell r="EU118"/>
          <cell r="EV118"/>
          <cell r="EW118"/>
          <cell r="EX118"/>
          <cell r="EY118"/>
          <cell r="EZ118"/>
          <cell r="FA118"/>
          <cell r="FB118"/>
          <cell r="FC118"/>
          <cell r="FD118"/>
          <cell r="FE118"/>
          <cell r="FF118"/>
          <cell r="FG118"/>
          <cell r="FH118"/>
          <cell r="FI118"/>
          <cell r="FJ118">
            <v>0</v>
          </cell>
          <cell r="FK118">
            <v>0</v>
          </cell>
          <cell r="FL118"/>
          <cell r="FM118"/>
          <cell r="FN118"/>
          <cell r="FO118"/>
          <cell r="FP118"/>
          <cell r="FQ118"/>
          <cell r="FR118">
            <v>0</v>
          </cell>
          <cell r="FS118">
            <v>0</v>
          </cell>
          <cell r="FU118">
            <v>113</v>
          </cell>
          <cell r="FV118">
            <v>0</v>
          </cell>
          <cell r="FW118">
            <v>1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K118">
            <v>113</v>
          </cell>
          <cell r="GL118">
            <v>3.0000000000000001E-3</v>
          </cell>
          <cell r="GM118">
            <v>0.04</v>
          </cell>
          <cell r="GN118"/>
        </row>
        <row r="119">
          <cell r="AD119">
            <v>113</v>
          </cell>
          <cell r="AE119">
            <v>0.8</v>
          </cell>
          <cell r="AF119">
            <v>0.8</v>
          </cell>
          <cell r="DZ119">
            <v>114</v>
          </cell>
          <cell r="EA119">
            <v>0</v>
          </cell>
          <cell r="EB119">
            <v>0</v>
          </cell>
          <cell r="ED119">
            <v>113</v>
          </cell>
          <cell r="EE119">
            <v>0</v>
          </cell>
          <cell r="EF119"/>
          <cell r="EG119">
            <v>0</v>
          </cell>
          <cell r="EH119"/>
          <cell r="EI119">
            <v>0</v>
          </cell>
          <cell r="EJ119"/>
          <cell r="EK119"/>
          <cell r="EL119"/>
          <cell r="EM119"/>
          <cell r="EN119"/>
          <cell r="EP119">
            <v>114</v>
          </cell>
          <cell r="EQ119"/>
          <cell r="ER119"/>
          <cell r="ES119"/>
          <cell r="ET119"/>
          <cell r="EU119"/>
          <cell r="EV119"/>
          <cell r="EW119"/>
          <cell r="EX119"/>
          <cell r="EY119"/>
          <cell r="EZ119"/>
          <cell r="FA119"/>
          <cell r="FB119"/>
          <cell r="FC119"/>
          <cell r="FD119"/>
          <cell r="FE119"/>
          <cell r="FF119"/>
          <cell r="FG119"/>
          <cell r="FH119"/>
          <cell r="FI119"/>
          <cell r="FJ119">
            <v>0</v>
          </cell>
          <cell r="FK119">
            <v>0</v>
          </cell>
          <cell r="FL119"/>
          <cell r="FM119"/>
          <cell r="FN119"/>
          <cell r="FO119"/>
          <cell r="FP119"/>
          <cell r="FQ119"/>
          <cell r="FR119">
            <v>0</v>
          </cell>
          <cell r="FS119">
            <v>0</v>
          </cell>
          <cell r="FU119">
            <v>114</v>
          </cell>
          <cell r="FV119">
            <v>0</v>
          </cell>
          <cell r="FW119">
            <v>1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K119">
            <v>114</v>
          </cell>
          <cell r="GL119">
            <v>3.0000000000000001E-3</v>
          </cell>
          <cell r="GM119">
            <v>0.04</v>
          </cell>
          <cell r="GN119"/>
        </row>
        <row r="120">
          <cell r="AD120">
            <v>114</v>
          </cell>
          <cell r="AE120">
            <v>0.8</v>
          </cell>
          <cell r="AF120">
            <v>0.8</v>
          </cell>
          <cell r="DZ120">
            <v>115</v>
          </cell>
          <cell r="EA120">
            <v>0</v>
          </cell>
          <cell r="EB120">
            <v>0</v>
          </cell>
          <cell r="ED120">
            <v>114</v>
          </cell>
          <cell r="EE120">
            <v>0</v>
          </cell>
          <cell r="EF120"/>
          <cell r="EG120">
            <v>0</v>
          </cell>
          <cell r="EH120"/>
          <cell r="EI120">
            <v>0</v>
          </cell>
          <cell r="EJ120"/>
          <cell r="EK120"/>
          <cell r="EL120"/>
          <cell r="EM120"/>
          <cell r="EN120"/>
          <cell r="EP120">
            <v>115</v>
          </cell>
          <cell r="EQ120"/>
          <cell r="ER120"/>
          <cell r="ES120"/>
          <cell r="ET120"/>
          <cell r="EU120"/>
          <cell r="EV120"/>
          <cell r="EW120"/>
          <cell r="EX120"/>
          <cell r="EY120"/>
          <cell r="EZ120"/>
          <cell r="FA120"/>
          <cell r="FB120"/>
          <cell r="FC120"/>
          <cell r="FD120"/>
          <cell r="FE120"/>
          <cell r="FF120"/>
          <cell r="FG120"/>
          <cell r="FH120"/>
          <cell r="FI120"/>
          <cell r="FJ120">
            <v>0</v>
          </cell>
          <cell r="FK120">
            <v>0</v>
          </cell>
          <cell r="FL120"/>
          <cell r="FM120"/>
          <cell r="FN120"/>
          <cell r="FO120"/>
          <cell r="FP120"/>
          <cell r="FQ120"/>
          <cell r="FR120">
            <v>0</v>
          </cell>
          <cell r="FS120">
            <v>0</v>
          </cell>
          <cell r="FU120">
            <v>115</v>
          </cell>
          <cell r="FV120">
            <v>0</v>
          </cell>
          <cell r="FW120">
            <v>1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K120">
            <v>115</v>
          </cell>
          <cell r="GL120">
            <v>3.0000000000000001E-3</v>
          </cell>
          <cell r="GM120">
            <v>0.04</v>
          </cell>
          <cell r="GN120"/>
        </row>
        <row r="121">
          <cell r="AD121">
            <v>115</v>
          </cell>
          <cell r="AE121">
            <v>0.8</v>
          </cell>
          <cell r="AF121">
            <v>0.8</v>
          </cell>
          <cell r="DZ121">
            <v>116</v>
          </cell>
          <cell r="EA121">
            <v>0</v>
          </cell>
          <cell r="EB121">
            <v>0</v>
          </cell>
          <cell r="ED121">
            <v>115</v>
          </cell>
          <cell r="EE121">
            <v>0</v>
          </cell>
          <cell r="EF121"/>
          <cell r="EG121">
            <v>0</v>
          </cell>
          <cell r="EH121"/>
          <cell r="EI121">
            <v>0</v>
          </cell>
          <cell r="EJ121"/>
          <cell r="EK121"/>
          <cell r="EL121"/>
          <cell r="EM121"/>
          <cell r="EN121"/>
          <cell r="EP121">
            <v>116</v>
          </cell>
          <cell r="EQ121"/>
          <cell r="ER121"/>
          <cell r="ES121"/>
          <cell r="ET121"/>
          <cell r="EU121"/>
          <cell r="EV121"/>
          <cell r="EW121"/>
          <cell r="EX121"/>
          <cell r="EY121"/>
          <cell r="EZ121"/>
          <cell r="FA121"/>
          <cell r="FB121"/>
          <cell r="FC121"/>
          <cell r="FD121"/>
          <cell r="FE121"/>
          <cell r="FF121"/>
          <cell r="FG121"/>
          <cell r="FH121"/>
          <cell r="FI121"/>
          <cell r="FJ121">
            <v>0</v>
          </cell>
          <cell r="FK121">
            <v>0</v>
          </cell>
          <cell r="FL121"/>
          <cell r="FM121"/>
          <cell r="FN121"/>
          <cell r="FO121"/>
          <cell r="FP121"/>
          <cell r="FQ121"/>
          <cell r="FR121">
            <v>0</v>
          </cell>
          <cell r="FS121">
            <v>0</v>
          </cell>
          <cell r="FU121">
            <v>116</v>
          </cell>
          <cell r="FV121">
            <v>0</v>
          </cell>
          <cell r="FW121">
            <v>1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K121">
            <v>116</v>
          </cell>
          <cell r="GL121">
            <v>3.0000000000000001E-3</v>
          </cell>
          <cell r="GM121">
            <v>0.04</v>
          </cell>
          <cell r="GN121"/>
        </row>
        <row r="122">
          <cell r="AD122">
            <v>116</v>
          </cell>
          <cell r="AE122">
            <v>0.8</v>
          </cell>
          <cell r="AF122">
            <v>0.8</v>
          </cell>
          <cell r="DZ122">
            <v>117</v>
          </cell>
          <cell r="EA122">
            <v>0</v>
          </cell>
          <cell r="EB122">
            <v>0</v>
          </cell>
          <cell r="ED122">
            <v>116</v>
          </cell>
          <cell r="EE122">
            <v>0</v>
          </cell>
          <cell r="EF122"/>
          <cell r="EG122">
            <v>0</v>
          </cell>
          <cell r="EH122"/>
          <cell r="EI122">
            <v>0</v>
          </cell>
          <cell r="EJ122"/>
          <cell r="EK122"/>
          <cell r="EL122"/>
          <cell r="EM122"/>
          <cell r="EN122"/>
          <cell r="EP122">
            <v>117</v>
          </cell>
          <cell r="EQ122"/>
          <cell r="ER122"/>
          <cell r="ES122"/>
          <cell r="ET122"/>
          <cell r="EU122"/>
          <cell r="EV122"/>
          <cell r="EW122"/>
          <cell r="EX122"/>
          <cell r="EY122"/>
          <cell r="EZ122"/>
          <cell r="FA122"/>
          <cell r="FB122"/>
          <cell r="FC122"/>
          <cell r="FD122"/>
          <cell r="FE122"/>
          <cell r="FF122"/>
          <cell r="FG122"/>
          <cell r="FH122"/>
          <cell r="FI122"/>
          <cell r="FJ122">
            <v>0</v>
          </cell>
          <cell r="FK122">
            <v>0</v>
          </cell>
          <cell r="FL122"/>
          <cell r="FM122"/>
          <cell r="FN122"/>
          <cell r="FO122"/>
          <cell r="FP122"/>
          <cell r="FQ122"/>
          <cell r="FR122">
            <v>0</v>
          </cell>
          <cell r="FS122">
            <v>0</v>
          </cell>
          <cell r="FU122">
            <v>117</v>
          </cell>
          <cell r="FV122">
            <v>0</v>
          </cell>
          <cell r="FW122">
            <v>1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K122">
            <v>117</v>
          </cell>
          <cell r="GL122">
            <v>3.0000000000000001E-3</v>
          </cell>
          <cell r="GM122">
            <v>0.04</v>
          </cell>
          <cell r="GN122"/>
        </row>
        <row r="123">
          <cell r="AD123">
            <v>117</v>
          </cell>
          <cell r="AE123">
            <v>0.8</v>
          </cell>
          <cell r="AF123">
            <v>0.8</v>
          </cell>
          <cell r="DZ123">
            <v>118</v>
          </cell>
          <cell r="EA123">
            <v>0</v>
          </cell>
          <cell r="EB123">
            <v>0</v>
          </cell>
          <cell r="ED123">
            <v>117</v>
          </cell>
          <cell r="EE123">
            <v>0</v>
          </cell>
          <cell r="EF123"/>
          <cell r="EG123">
            <v>0</v>
          </cell>
          <cell r="EH123"/>
          <cell r="EI123">
            <v>0</v>
          </cell>
          <cell r="EJ123"/>
          <cell r="EK123"/>
          <cell r="EL123"/>
          <cell r="EM123"/>
          <cell r="EN123"/>
          <cell r="EP123">
            <v>118</v>
          </cell>
          <cell r="EQ123"/>
          <cell r="ER123"/>
          <cell r="ES123"/>
          <cell r="ET123"/>
          <cell r="EU123"/>
          <cell r="EV123"/>
          <cell r="EW123"/>
          <cell r="EX123"/>
          <cell r="EY123"/>
          <cell r="EZ123"/>
          <cell r="FA123"/>
          <cell r="FB123"/>
          <cell r="FC123"/>
          <cell r="FD123"/>
          <cell r="FE123"/>
          <cell r="FF123"/>
          <cell r="FG123"/>
          <cell r="FH123"/>
          <cell r="FI123"/>
          <cell r="FJ123">
            <v>0</v>
          </cell>
          <cell r="FK123">
            <v>0</v>
          </cell>
          <cell r="FL123"/>
          <cell r="FM123"/>
          <cell r="FN123"/>
          <cell r="FO123"/>
          <cell r="FP123"/>
          <cell r="FQ123"/>
          <cell r="FR123">
            <v>0</v>
          </cell>
          <cell r="FS123">
            <v>0</v>
          </cell>
          <cell r="FU123">
            <v>118</v>
          </cell>
          <cell r="FV123">
            <v>0</v>
          </cell>
          <cell r="FW123">
            <v>1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K123">
            <v>118</v>
          </cell>
          <cell r="GL123">
            <v>3.0000000000000001E-3</v>
          </cell>
          <cell r="GM123">
            <v>0.04</v>
          </cell>
          <cell r="GN123"/>
        </row>
        <row r="124">
          <cell r="AD124">
            <v>118</v>
          </cell>
          <cell r="AE124">
            <v>0.8</v>
          </cell>
          <cell r="AF124">
            <v>0.8</v>
          </cell>
          <cell r="DZ124">
            <v>119</v>
          </cell>
          <cell r="EA124">
            <v>0</v>
          </cell>
          <cell r="EB124">
            <v>0</v>
          </cell>
          <cell r="ED124">
            <v>118</v>
          </cell>
          <cell r="EE124">
            <v>0</v>
          </cell>
          <cell r="EF124"/>
          <cell r="EG124">
            <v>0</v>
          </cell>
          <cell r="EH124"/>
          <cell r="EI124">
            <v>0</v>
          </cell>
          <cell r="EJ124"/>
          <cell r="EK124"/>
          <cell r="EL124"/>
          <cell r="EM124"/>
          <cell r="EN124"/>
          <cell r="EP124">
            <v>119</v>
          </cell>
          <cell r="EQ124"/>
          <cell r="ER124"/>
          <cell r="ES124"/>
          <cell r="ET124"/>
          <cell r="EU124"/>
          <cell r="EV124"/>
          <cell r="EW124"/>
          <cell r="EX124"/>
          <cell r="EY124"/>
          <cell r="EZ124"/>
          <cell r="FA124"/>
          <cell r="FB124"/>
          <cell r="FC124"/>
          <cell r="FD124"/>
          <cell r="FE124"/>
          <cell r="FF124"/>
          <cell r="FG124"/>
          <cell r="FH124"/>
          <cell r="FI124"/>
          <cell r="FJ124">
            <v>0</v>
          </cell>
          <cell r="FK124">
            <v>0</v>
          </cell>
          <cell r="FL124"/>
          <cell r="FM124"/>
          <cell r="FN124"/>
          <cell r="FO124"/>
          <cell r="FP124"/>
          <cell r="FQ124"/>
          <cell r="FR124">
            <v>0</v>
          </cell>
          <cell r="FS124">
            <v>0</v>
          </cell>
          <cell r="FU124">
            <v>119</v>
          </cell>
          <cell r="FV124">
            <v>0</v>
          </cell>
          <cell r="FW124">
            <v>1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K124">
            <v>119</v>
          </cell>
          <cell r="GL124">
            <v>3.0000000000000001E-3</v>
          </cell>
          <cell r="GM124">
            <v>0.04</v>
          </cell>
          <cell r="GN124"/>
        </row>
        <row r="125">
          <cell r="AD125">
            <v>119</v>
          </cell>
          <cell r="AE125">
            <v>0.8</v>
          </cell>
          <cell r="AF125">
            <v>0.8</v>
          </cell>
          <cell r="DZ125">
            <v>120</v>
          </cell>
          <cell r="EA125">
            <v>0</v>
          </cell>
          <cell r="EB125">
            <v>0</v>
          </cell>
          <cell r="ED125">
            <v>119</v>
          </cell>
          <cell r="EE125">
            <v>0</v>
          </cell>
          <cell r="EF125"/>
          <cell r="EG125">
            <v>0</v>
          </cell>
          <cell r="EH125"/>
          <cell r="EI125">
            <v>0</v>
          </cell>
          <cell r="EJ125"/>
          <cell r="EK125"/>
          <cell r="EL125"/>
          <cell r="EM125"/>
          <cell r="EN125"/>
          <cell r="EP125">
            <v>120</v>
          </cell>
          <cell r="EQ125"/>
          <cell r="ER125"/>
          <cell r="ES125"/>
          <cell r="ET125"/>
          <cell r="EU125"/>
          <cell r="EV125"/>
          <cell r="EW125"/>
          <cell r="EX125"/>
          <cell r="EY125"/>
          <cell r="EZ125"/>
          <cell r="FA125"/>
          <cell r="FB125"/>
          <cell r="FC125"/>
          <cell r="FD125"/>
          <cell r="FE125"/>
          <cell r="FF125"/>
          <cell r="FG125"/>
          <cell r="FH125"/>
          <cell r="FI125"/>
          <cell r="FJ125">
            <v>0</v>
          </cell>
          <cell r="FK125">
            <v>0</v>
          </cell>
          <cell r="FL125"/>
          <cell r="FM125"/>
          <cell r="FN125"/>
          <cell r="FO125"/>
          <cell r="FP125"/>
          <cell r="FQ125"/>
          <cell r="FR125">
            <v>0</v>
          </cell>
          <cell r="FS125">
            <v>0</v>
          </cell>
          <cell r="FU125">
            <v>120</v>
          </cell>
          <cell r="FV125">
            <v>0</v>
          </cell>
          <cell r="FW125">
            <v>1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K125">
            <v>120</v>
          </cell>
          <cell r="GL125">
            <v>3.0000000000000001E-3</v>
          </cell>
          <cell r="GM125">
            <v>0.04</v>
          </cell>
          <cell r="GN125"/>
        </row>
      </sheetData>
      <sheetData sheetId="6"/>
      <sheetData sheetId="7"/>
      <sheetData sheetId="8">
        <row r="8">
          <cell r="C8">
            <v>1</v>
          </cell>
        </row>
        <row r="10">
          <cell r="C10">
            <v>1</v>
          </cell>
        </row>
        <row r="11">
          <cell r="C11">
            <v>1</v>
          </cell>
        </row>
        <row r="12">
          <cell r="C12">
            <v>1</v>
          </cell>
        </row>
        <row r="13">
          <cell r="C13">
            <v>1</v>
          </cell>
        </row>
        <row r="14">
          <cell r="C14">
            <v>1</v>
          </cell>
        </row>
        <row r="15">
          <cell r="C15">
            <v>1</v>
          </cell>
        </row>
      </sheetData>
      <sheetData sheetId="9">
        <row r="6">
          <cell r="C6">
            <v>1</v>
          </cell>
          <cell r="D6">
            <v>0.08</v>
          </cell>
          <cell r="E6">
            <v>5.1999999999999998E-2</v>
          </cell>
          <cell r="F6">
            <v>5.1999999999999998E-2</v>
          </cell>
          <cell r="G6">
            <v>6.5000000000000002E-2</v>
          </cell>
          <cell r="H6">
            <v>0</v>
          </cell>
          <cell r="J6">
            <v>1</v>
          </cell>
          <cell r="K6">
            <v>100000</v>
          </cell>
          <cell r="L6">
            <v>0.05</v>
          </cell>
        </row>
        <row r="7">
          <cell r="C7">
            <v>2</v>
          </cell>
          <cell r="D7">
            <v>0.08</v>
          </cell>
          <cell r="E7">
            <v>5.1999999999999998E-2</v>
          </cell>
          <cell r="F7">
            <v>5.1999999999999998E-2</v>
          </cell>
          <cell r="G7">
            <v>6.5000000000000002E-2</v>
          </cell>
          <cell r="H7">
            <v>0</v>
          </cell>
          <cell r="J7">
            <v>2</v>
          </cell>
          <cell r="K7">
            <v>100000</v>
          </cell>
          <cell r="L7">
            <v>0.05</v>
          </cell>
        </row>
        <row r="8">
          <cell r="C8">
            <v>3</v>
          </cell>
          <cell r="D8">
            <v>0.08</v>
          </cell>
          <cell r="E8">
            <v>5.1999999999999998E-2</v>
          </cell>
          <cell r="F8">
            <v>5.1999999999999998E-2</v>
          </cell>
          <cell r="G8">
            <v>6.5000000000000002E-2</v>
          </cell>
          <cell r="H8">
            <v>0</v>
          </cell>
          <cell r="J8">
            <v>3</v>
          </cell>
          <cell r="K8">
            <v>100000</v>
          </cell>
          <cell r="L8">
            <v>0.05</v>
          </cell>
        </row>
        <row r="9">
          <cell r="C9">
            <v>4</v>
          </cell>
          <cell r="D9">
            <v>0.08</v>
          </cell>
          <cell r="E9">
            <v>5.1999999999999998E-2</v>
          </cell>
          <cell r="F9">
            <v>5.1999999999999998E-2</v>
          </cell>
          <cell r="G9">
            <v>6.5000000000000002E-2</v>
          </cell>
          <cell r="H9">
            <v>0</v>
          </cell>
          <cell r="J9">
            <v>4</v>
          </cell>
          <cell r="K9">
            <v>100000</v>
          </cell>
          <cell r="L9">
            <v>0.05</v>
          </cell>
        </row>
        <row r="10">
          <cell r="C10">
            <v>5</v>
          </cell>
          <cell r="D10">
            <v>0.08</v>
          </cell>
          <cell r="E10">
            <v>5.1999999999999998E-2</v>
          </cell>
          <cell r="F10">
            <v>5.1999999999999998E-2</v>
          </cell>
          <cell r="G10">
            <v>6.5000000000000002E-2</v>
          </cell>
          <cell r="H10">
            <v>0</v>
          </cell>
          <cell r="J10">
            <v>5</v>
          </cell>
          <cell r="K10">
            <v>100000</v>
          </cell>
          <cell r="L10">
            <v>0.05</v>
          </cell>
        </row>
        <row r="11">
          <cell r="C11">
            <v>6</v>
          </cell>
          <cell r="D11">
            <v>0.08</v>
          </cell>
          <cell r="E11">
            <v>5.1999999999999998E-2</v>
          </cell>
          <cell r="F11">
            <v>5.1999999999999998E-2</v>
          </cell>
          <cell r="G11">
            <v>6.5000000000000002E-2</v>
          </cell>
          <cell r="H11">
            <v>0</v>
          </cell>
          <cell r="J11">
            <v>6</v>
          </cell>
          <cell r="K11">
            <v>100000</v>
          </cell>
          <cell r="L11">
            <v>0.05</v>
          </cell>
        </row>
        <row r="12">
          <cell r="C12">
            <v>7</v>
          </cell>
          <cell r="D12">
            <v>0.08</v>
          </cell>
          <cell r="E12">
            <v>5.1999999999999998E-2</v>
          </cell>
          <cell r="F12">
            <v>5.1999999999999998E-2</v>
          </cell>
          <cell r="G12">
            <v>6.5000000000000002E-2</v>
          </cell>
          <cell r="H12">
            <v>0</v>
          </cell>
          <cell r="J12">
            <v>7</v>
          </cell>
          <cell r="K12">
            <v>100000</v>
          </cell>
          <cell r="L12">
            <v>0.05</v>
          </cell>
        </row>
        <row r="13">
          <cell r="C13">
            <v>8</v>
          </cell>
          <cell r="D13">
            <v>0.08</v>
          </cell>
          <cell r="E13">
            <v>5.1999999999999998E-2</v>
          </cell>
          <cell r="F13">
            <v>5.1999999999999998E-2</v>
          </cell>
          <cell r="G13">
            <v>6.5000000000000002E-2</v>
          </cell>
          <cell r="H13">
            <v>0</v>
          </cell>
          <cell r="J13">
            <v>8</v>
          </cell>
          <cell r="K13">
            <v>100000</v>
          </cell>
          <cell r="L13">
            <v>0.05</v>
          </cell>
        </row>
        <row r="14">
          <cell r="C14">
            <v>9</v>
          </cell>
          <cell r="D14">
            <v>0.08</v>
          </cell>
          <cell r="E14">
            <v>5.1999999999999998E-2</v>
          </cell>
          <cell r="F14">
            <v>5.1999999999999998E-2</v>
          </cell>
          <cell r="G14">
            <v>6.5000000000000002E-2</v>
          </cell>
          <cell r="H14">
            <v>0</v>
          </cell>
          <cell r="J14">
            <v>9</v>
          </cell>
          <cell r="K14">
            <v>100000</v>
          </cell>
          <cell r="L14">
            <v>0.05</v>
          </cell>
        </row>
        <row r="15">
          <cell r="C15">
            <v>10</v>
          </cell>
          <cell r="D15">
            <v>0.08</v>
          </cell>
          <cell r="E15">
            <v>5.1999999999999998E-2</v>
          </cell>
          <cell r="F15">
            <v>5.1999999999999998E-2</v>
          </cell>
          <cell r="G15">
            <v>6.5000000000000002E-2</v>
          </cell>
          <cell r="H15">
            <v>0</v>
          </cell>
          <cell r="J15">
            <v>10</v>
          </cell>
          <cell r="K15">
            <v>100000</v>
          </cell>
          <cell r="L15">
            <v>0.05</v>
          </cell>
        </row>
        <row r="16">
          <cell r="C16">
            <v>11</v>
          </cell>
          <cell r="D16">
            <v>0.08</v>
          </cell>
          <cell r="E16">
            <v>5.1999999999999998E-2</v>
          </cell>
          <cell r="F16">
            <v>5.1999999999999998E-2</v>
          </cell>
          <cell r="G16">
            <v>6.5000000000000002E-2</v>
          </cell>
          <cell r="H16">
            <v>0</v>
          </cell>
          <cell r="J16">
            <v>11</v>
          </cell>
          <cell r="K16">
            <v>100000</v>
          </cell>
          <cell r="L16">
            <v>0.05</v>
          </cell>
        </row>
        <row r="17">
          <cell r="C17">
            <v>12</v>
          </cell>
          <cell r="D17">
            <v>0.08</v>
          </cell>
          <cell r="E17">
            <v>5.1999999999999998E-2</v>
          </cell>
          <cell r="F17">
            <v>5.1999999999999998E-2</v>
          </cell>
          <cell r="G17">
            <v>6.5000000000000002E-2</v>
          </cell>
          <cell r="H17">
            <v>0</v>
          </cell>
          <cell r="J17">
            <v>12</v>
          </cell>
          <cell r="K17">
            <v>100000</v>
          </cell>
          <cell r="L17">
            <v>0.05</v>
          </cell>
        </row>
        <row r="18">
          <cell r="C18">
            <v>13</v>
          </cell>
          <cell r="D18">
            <v>0.08</v>
          </cell>
          <cell r="E18">
            <v>5.1999999999999998E-2</v>
          </cell>
          <cell r="F18">
            <v>5.1999999999999998E-2</v>
          </cell>
          <cell r="G18">
            <v>6.5000000000000002E-2</v>
          </cell>
          <cell r="H18">
            <v>0</v>
          </cell>
          <cell r="J18">
            <v>13</v>
          </cell>
          <cell r="K18">
            <v>100000</v>
          </cell>
          <cell r="L18">
            <v>0.05</v>
          </cell>
        </row>
        <row r="19">
          <cell r="C19">
            <v>14</v>
          </cell>
          <cell r="D19">
            <v>0.08</v>
          </cell>
          <cell r="E19">
            <v>5.1999999999999998E-2</v>
          </cell>
          <cell r="F19">
            <v>5.1999999999999998E-2</v>
          </cell>
          <cell r="G19">
            <v>6.5000000000000002E-2</v>
          </cell>
          <cell r="H19">
            <v>0</v>
          </cell>
          <cell r="J19">
            <v>14</v>
          </cell>
          <cell r="K19">
            <v>100000</v>
          </cell>
          <cell r="L19">
            <v>0.05</v>
          </cell>
        </row>
        <row r="20">
          <cell r="C20">
            <v>15</v>
          </cell>
          <cell r="D20">
            <v>0.08</v>
          </cell>
          <cell r="E20">
            <v>5.1999999999999998E-2</v>
          </cell>
          <cell r="F20">
            <v>5.1999999999999998E-2</v>
          </cell>
          <cell r="G20">
            <v>6.5000000000000002E-2</v>
          </cell>
          <cell r="H20">
            <v>0</v>
          </cell>
          <cell r="J20">
            <v>15</v>
          </cell>
          <cell r="K20">
            <v>100000</v>
          </cell>
          <cell r="L20">
            <v>0.05</v>
          </cell>
        </row>
        <row r="21">
          <cell r="C21">
            <v>16</v>
          </cell>
          <cell r="D21">
            <v>0.08</v>
          </cell>
          <cell r="E21">
            <v>5.1999999999999998E-2</v>
          </cell>
          <cell r="F21">
            <v>5.1999999999999998E-2</v>
          </cell>
          <cell r="G21">
            <v>6.5000000000000002E-2</v>
          </cell>
          <cell r="H21">
            <v>0</v>
          </cell>
          <cell r="J21">
            <v>16</v>
          </cell>
          <cell r="K21">
            <v>100000</v>
          </cell>
          <cell r="L21">
            <v>0.05</v>
          </cell>
        </row>
        <row r="22">
          <cell r="C22">
            <v>17</v>
          </cell>
          <cell r="D22">
            <v>0.08</v>
          </cell>
          <cell r="E22">
            <v>5.1999999999999998E-2</v>
          </cell>
          <cell r="F22">
            <v>5.1999999999999998E-2</v>
          </cell>
          <cell r="G22">
            <v>6.5000000000000002E-2</v>
          </cell>
          <cell r="H22">
            <v>0</v>
          </cell>
          <cell r="J22">
            <v>17</v>
          </cell>
          <cell r="K22">
            <v>100000</v>
          </cell>
          <cell r="L22">
            <v>0.05</v>
          </cell>
        </row>
        <row r="23">
          <cell r="C23">
            <v>18</v>
          </cell>
          <cell r="D23">
            <v>0.08</v>
          </cell>
          <cell r="E23">
            <v>5.1999999999999998E-2</v>
          </cell>
          <cell r="F23">
            <v>5.1999999999999998E-2</v>
          </cell>
          <cell r="G23">
            <v>6.5000000000000002E-2</v>
          </cell>
          <cell r="H23">
            <v>0</v>
          </cell>
          <cell r="J23">
            <v>18</v>
          </cell>
          <cell r="K23">
            <v>100000</v>
          </cell>
          <cell r="L23">
            <v>0.05</v>
          </cell>
        </row>
        <row r="24">
          <cell r="C24">
            <v>19</v>
          </cell>
          <cell r="D24">
            <v>0.08</v>
          </cell>
          <cell r="E24">
            <v>5.1999999999999998E-2</v>
          </cell>
          <cell r="F24">
            <v>5.1999999999999998E-2</v>
          </cell>
          <cell r="G24">
            <v>6.5000000000000002E-2</v>
          </cell>
          <cell r="H24">
            <v>0</v>
          </cell>
          <cell r="J24">
            <v>19</v>
          </cell>
          <cell r="K24">
            <v>100000</v>
          </cell>
          <cell r="L24">
            <v>0.05</v>
          </cell>
        </row>
        <row r="25">
          <cell r="C25">
            <v>20</v>
          </cell>
          <cell r="D25">
            <v>0.08</v>
          </cell>
          <cell r="E25">
            <v>5.1999999999999998E-2</v>
          </cell>
          <cell r="F25">
            <v>5.1999999999999998E-2</v>
          </cell>
          <cell r="G25">
            <v>6.5000000000000002E-2</v>
          </cell>
          <cell r="H25">
            <v>0</v>
          </cell>
          <cell r="J25">
            <v>20</v>
          </cell>
          <cell r="K25">
            <v>100000</v>
          </cell>
          <cell r="L25">
            <v>0.05</v>
          </cell>
        </row>
        <row r="26">
          <cell r="C26">
            <v>21</v>
          </cell>
          <cell r="D26">
            <v>0.08</v>
          </cell>
          <cell r="E26">
            <v>5.1999999999999998E-2</v>
          </cell>
          <cell r="F26">
            <v>5.1999999999999998E-2</v>
          </cell>
          <cell r="G26">
            <v>6.5000000000000002E-2</v>
          </cell>
          <cell r="H26">
            <v>0</v>
          </cell>
          <cell r="J26">
            <v>21</v>
          </cell>
          <cell r="K26">
            <v>100000</v>
          </cell>
          <cell r="L26">
            <v>0.05</v>
          </cell>
        </row>
        <row r="27">
          <cell r="C27">
            <v>22</v>
          </cell>
          <cell r="D27">
            <v>0.08</v>
          </cell>
          <cell r="E27">
            <v>5.1999999999999998E-2</v>
          </cell>
          <cell r="F27">
            <v>5.1999999999999998E-2</v>
          </cell>
          <cell r="G27">
            <v>6.5000000000000002E-2</v>
          </cell>
          <cell r="H27">
            <v>0</v>
          </cell>
          <cell r="J27">
            <v>22</v>
          </cell>
          <cell r="K27">
            <v>100000</v>
          </cell>
          <cell r="L27">
            <v>0.05</v>
          </cell>
        </row>
        <row r="28">
          <cell r="C28">
            <v>23</v>
          </cell>
          <cell r="D28">
            <v>0.08</v>
          </cell>
          <cell r="E28">
            <v>5.1999999999999998E-2</v>
          </cell>
          <cell r="F28">
            <v>5.1999999999999998E-2</v>
          </cell>
          <cell r="G28">
            <v>6.5000000000000002E-2</v>
          </cell>
          <cell r="H28">
            <v>0</v>
          </cell>
          <cell r="J28">
            <v>23</v>
          </cell>
          <cell r="K28">
            <v>100000</v>
          </cell>
          <cell r="L28">
            <v>0.05</v>
          </cell>
        </row>
        <row r="29">
          <cell r="C29">
            <v>24</v>
          </cell>
          <cell r="D29">
            <v>0.08</v>
          </cell>
          <cell r="E29">
            <v>5.1999999999999998E-2</v>
          </cell>
          <cell r="F29">
            <v>5.1999999999999998E-2</v>
          </cell>
          <cell r="G29">
            <v>6.5000000000000002E-2</v>
          </cell>
          <cell r="H29">
            <v>0</v>
          </cell>
          <cell r="J29">
            <v>24</v>
          </cell>
          <cell r="K29">
            <v>100000</v>
          </cell>
          <cell r="L29">
            <v>0.05</v>
          </cell>
        </row>
        <row r="30">
          <cell r="C30">
            <v>25</v>
          </cell>
          <cell r="D30">
            <v>0.08</v>
          </cell>
          <cell r="E30">
            <v>5.1999999999999998E-2</v>
          </cell>
          <cell r="F30">
            <v>5.1999999999999998E-2</v>
          </cell>
          <cell r="G30">
            <v>6.5000000000000002E-2</v>
          </cell>
          <cell r="H30">
            <v>0</v>
          </cell>
          <cell r="J30">
            <v>25</v>
          </cell>
          <cell r="K30">
            <v>100000</v>
          </cell>
          <cell r="L30">
            <v>0.05</v>
          </cell>
        </row>
        <row r="31">
          <cell r="C31">
            <v>26</v>
          </cell>
          <cell r="D31">
            <v>0.08</v>
          </cell>
          <cell r="E31">
            <v>5.1999999999999998E-2</v>
          </cell>
          <cell r="F31">
            <v>5.1999999999999998E-2</v>
          </cell>
          <cell r="G31">
            <v>6.5000000000000002E-2</v>
          </cell>
          <cell r="H31">
            <v>0</v>
          </cell>
          <cell r="J31">
            <v>26</v>
          </cell>
          <cell r="K31">
            <v>100000</v>
          </cell>
          <cell r="L31">
            <v>0.05</v>
          </cell>
        </row>
        <row r="32">
          <cell r="C32">
            <v>27</v>
          </cell>
          <cell r="D32">
            <v>0.08</v>
          </cell>
          <cell r="E32">
            <v>5.1999999999999998E-2</v>
          </cell>
          <cell r="F32">
            <v>5.1999999999999998E-2</v>
          </cell>
          <cell r="G32">
            <v>6.5000000000000002E-2</v>
          </cell>
          <cell r="H32">
            <v>0</v>
          </cell>
          <cell r="J32">
            <v>27</v>
          </cell>
          <cell r="K32">
            <v>100000</v>
          </cell>
          <cell r="L32">
            <v>0.05</v>
          </cell>
        </row>
        <row r="33">
          <cell r="C33">
            <v>28</v>
          </cell>
          <cell r="D33">
            <v>0.08</v>
          </cell>
          <cell r="E33">
            <v>5.1999999999999998E-2</v>
          </cell>
          <cell r="F33">
            <v>5.1999999999999998E-2</v>
          </cell>
          <cell r="G33">
            <v>6.5000000000000002E-2</v>
          </cell>
          <cell r="H33">
            <v>0</v>
          </cell>
          <cell r="J33">
            <v>28</v>
          </cell>
          <cell r="K33">
            <v>100000</v>
          </cell>
          <cell r="L33">
            <v>0.05</v>
          </cell>
        </row>
        <row r="34">
          <cell r="C34">
            <v>29</v>
          </cell>
          <cell r="D34">
            <v>0.08</v>
          </cell>
          <cell r="E34">
            <v>5.1999999999999998E-2</v>
          </cell>
          <cell r="F34">
            <v>5.1999999999999998E-2</v>
          </cell>
          <cell r="G34">
            <v>6.5000000000000002E-2</v>
          </cell>
          <cell r="H34">
            <v>0</v>
          </cell>
          <cell r="J34">
            <v>29</v>
          </cell>
          <cell r="K34">
            <v>100000</v>
          </cell>
          <cell r="L34">
            <v>0.05</v>
          </cell>
        </row>
        <row r="35">
          <cell r="C35">
            <v>30</v>
          </cell>
          <cell r="D35">
            <v>0.08</v>
          </cell>
          <cell r="E35">
            <v>5.1999999999999998E-2</v>
          </cell>
          <cell r="F35">
            <v>5.1999999999999998E-2</v>
          </cell>
          <cell r="G35">
            <v>6.5000000000000002E-2</v>
          </cell>
          <cell r="H35">
            <v>0</v>
          </cell>
          <cell r="J35">
            <v>30</v>
          </cell>
          <cell r="K35">
            <v>100000</v>
          </cell>
          <cell r="L35">
            <v>0.05</v>
          </cell>
        </row>
        <row r="36">
          <cell r="C36">
            <v>31</v>
          </cell>
          <cell r="D36">
            <v>0.08</v>
          </cell>
          <cell r="E36">
            <v>5.1999999999999998E-2</v>
          </cell>
          <cell r="F36">
            <v>5.1999999999999998E-2</v>
          </cell>
          <cell r="G36">
            <v>6.5000000000000002E-2</v>
          </cell>
          <cell r="H36">
            <v>0</v>
          </cell>
          <cell r="J36">
            <v>31</v>
          </cell>
          <cell r="K36">
            <v>100000</v>
          </cell>
          <cell r="L36">
            <v>0.05</v>
          </cell>
        </row>
        <row r="37">
          <cell r="C37">
            <v>32</v>
          </cell>
          <cell r="D37">
            <v>0.08</v>
          </cell>
          <cell r="E37">
            <v>5.1999999999999998E-2</v>
          </cell>
          <cell r="F37">
            <v>5.1999999999999998E-2</v>
          </cell>
          <cell r="G37">
            <v>6.5000000000000002E-2</v>
          </cell>
          <cell r="H37">
            <v>0</v>
          </cell>
          <cell r="J37">
            <v>32</v>
          </cell>
          <cell r="K37">
            <v>100000</v>
          </cell>
          <cell r="L37">
            <v>0.05</v>
          </cell>
        </row>
        <row r="38">
          <cell r="C38">
            <v>33</v>
          </cell>
          <cell r="D38">
            <v>0.08</v>
          </cell>
          <cell r="E38">
            <v>5.1999999999999998E-2</v>
          </cell>
          <cell r="F38">
            <v>5.1999999999999998E-2</v>
          </cell>
          <cell r="G38">
            <v>6.5000000000000002E-2</v>
          </cell>
          <cell r="H38">
            <v>0</v>
          </cell>
          <cell r="J38">
            <v>33</v>
          </cell>
          <cell r="K38">
            <v>100000</v>
          </cell>
          <cell r="L38">
            <v>0.05</v>
          </cell>
        </row>
        <row r="39">
          <cell r="C39">
            <v>34</v>
          </cell>
          <cell r="D39">
            <v>0.08</v>
          </cell>
          <cell r="E39">
            <v>5.1999999999999998E-2</v>
          </cell>
          <cell r="F39">
            <v>5.1999999999999998E-2</v>
          </cell>
          <cell r="G39">
            <v>6.5000000000000002E-2</v>
          </cell>
          <cell r="H39">
            <v>0</v>
          </cell>
          <cell r="J39">
            <v>34</v>
          </cell>
          <cell r="K39">
            <v>100000</v>
          </cell>
          <cell r="L39">
            <v>0.05</v>
          </cell>
        </row>
        <row r="40">
          <cell r="C40">
            <v>35</v>
          </cell>
          <cell r="D40">
            <v>0.08</v>
          </cell>
          <cell r="E40">
            <v>5.1999999999999998E-2</v>
          </cell>
          <cell r="F40">
            <v>5.1999999999999998E-2</v>
          </cell>
          <cell r="G40">
            <v>6.5000000000000002E-2</v>
          </cell>
          <cell r="H40">
            <v>0</v>
          </cell>
          <cell r="J40">
            <v>35</v>
          </cell>
          <cell r="K40">
            <v>100000</v>
          </cell>
          <cell r="L40">
            <v>0.05</v>
          </cell>
        </row>
        <row r="41">
          <cell r="C41">
            <v>36</v>
          </cell>
          <cell r="D41">
            <v>0.08</v>
          </cell>
          <cell r="E41">
            <v>5.1999999999999998E-2</v>
          </cell>
          <cell r="F41">
            <v>5.1999999999999998E-2</v>
          </cell>
          <cell r="G41">
            <v>6.5000000000000002E-2</v>
          </cell>
          <cell r="H41">
            <v>0</v>
          </cell>
          <cell r="J41">
            <v>36</v>
          </cell>
          <cell r="K41">
            <v>100000</v>
          </cell>
          <cell r="L41">
            <v>0.05</v>
          </cell>
        </row>
        <row r="42">
          <cell r="C42">
            <v>37</v>
          </cell>
          <cell r="D42">
            <v>0.08</v>
          </cell>
          <cell r="E42">
            <v>5.1999999999999998E-2</v>
          </cell>
          <cell r="F42">
            <v>5.1999999999999998E-2</v>
          </cell>
          <cell r="G42">
            <v>6.5000000000000002E-2</v>
          </cell>
          <cell r="H42">
            <v>0</v>
          </cell>
          <cell r="J42">
            <v>37</v>
          </cell>
          <cell r="K42">
            <v>100000</v>
          </cell>
          <cell r="L42">
            <v>0.05</v>
          </cell>
        </row>
        <row r="43">
          <cell r="C43">
            <v>38</v>
          </cell>
          <cell r="D43">
            <v>0.08</v>
          </cell>
          <cell r="E43">
            <v>5.1999999999999998E-2</v>
          </cell>
          <cell r="F43">
            <v>5.1999999999999998E-2</v>
          </cell>
          <cell r="G43">
            <v>6.5000000000000002E-2</v>
          </cell>
          <cell r="H43">
            <v>0</v>
          </cell>
          <cell r="J43">
            <v>38</v>
          </cell>
          <cell r="K43">
            <v>100000</v>
          </cell>
          <cell r="L43">
            <v>0.05</v>
          </cell>
        </row>
        <row r="44">
          <cell r="C44">
            <v>39</v>
          </cell>
          <cell r="D44">
            <v>0.08</v>
          </cell>
          <cell r="E44">
            <v>5.1999999999999998E-2</v>
          </cell>
          <cell r="F44">
            <v>5.1999999999999998E-2</v>
          </cell>
          <cell r="G44">
            <v>6.5000000000000002E-2</v>
          </cell>
          <cell r="H44">
            <v>0</v>
          </cell>
          <cell r="J44">
            <v>39</v>
          </cell>
          <cell r="K44">
            <v>100000</v>
          </cell>
          <cell r="L44">
            <v>0.05</v>
          </cell>
        </row>
        <row r="45">
          <cell r="C45">
            <v>40</v>
          </cell>
          <cell r="D45">
            <v>0.08</v>
          </cell>
          <cell r="E45">
            <v>5.1999999999999998E-2</v>
          </cell>
          <cell r="F45">
            <v>5.1999999999999998E-2</v>
          </cell>
          <cell r="G45">
            <v>6.5000000000000002E-2</v>
          </cell>
          <cell r="H45">
            <v>0</v>
          </cell>
          <cell r="J45">
            <v>40</v>
          </cell>
          <cell r="K45">
            <v>100000</v>
          </cell>
          <cell r="L45">
            <v>0.05</v>
          </cell>
        </row>
        <row r="46">
          <cell r="C46">
            <v>41</v>
          </cell>
          <cell r="D46">
            <v>0.08</v>
          </cell>
          <cell r="E46">
            <v>5.1999999999999998E-2</v>
          </cell>
          <cell r="F46">
            <v>5.1999999999999998E-2</v>
          </cell>
          <cell r="G46">
            <v>6.5000000000000002E-2</v>
          </cell>
          <cell r="H46">
            <v>0</v>
          </cell>
          <cell r="J46">
            <v>41</v>
          </cell>
          <cell r="K46">
            <v>100000</v>
          </cell>
          <cell r="L46">
            <v>0.05</v>
          </cell>
        </row>
        <row r="47">
          <cell r="C47">
            <v>42</v>
          </cell>
          <cell r="D47">
            <v>0.08</v>
          </cell>
          <cell r="E47">
            <v>5.1999999999999998E-2</v>
          </cell>
          <cell r="F47">
            <v>5.1999999999999998E-2</v>
          </cell>
          <cell r="G47">
            <v>6.5000000000000002E-2</v>
          </cell>
          <cell r="H47">
            <v>0</v>
          </cell>
          <cell r="J47">
            <v>42</v>
          </cell>
          <cell r="K47">
            <v>100000</v>
          </cell>
          <cell r="L47">
            <v>0.05</v>
          </cell>
        </row>
        <row r="48">
          <cell r="C48">
            <v>43</v>
          </cell>
          <cell r="D48">
            <v>0.08</v>
          </cell>
          <cell r="E48">
            <v>5.1999999999999998E-2</v>
          </cell>
          <cell r="F48">
            <v>5.1999999999999998E-2</v>
          </cell>
          <cell r="G48">
            <v>6.5000000000000002E-2</v>
          </cell>
          <cell r="H48">
            <v>0</v>
          </cell>
          <cell r="J48">
            <v>43</v>
          </cell>
          <cell r="K48">
            <v>100000</v>
          </cell>
          <cell r="L48">
            <v>0.05</v>
          </cell>
        </row>
        <row r="49">
          <cell r="C49">
            <v>44</v>
          </cell>
          <cell r="D49">
            <v>0.08</v>
          </cell>
          <cell r="E49">
            <v>5.1999999999999998E-2</v>
          </cell>
          <cell r="F49">
            <v>5.1999999999999998E-2</v>
          </cell>
          <cell r="G49">
            <v>6.5000000000000002E-2</v>
          </cell>
          <cell r="H49">
            <v>0</v>
          </cell>
          <cell r="J49">
            <v>44</v>
          </cell>
          <cell r="K49">
            <v>100000</v>
          </cell>
          <cell r="L49">
            <v>0.05</v>
          </cell>
        </row>
        <row r="50">
          <cell r="C50">
            <v>45</v>
          </cell>
          <cell r="D50">
            <v>0.08</v>
          </cell>
          <cell r="E50">
            <v>5.1999999999999998E-2</v>
          </cell>
          <cell r="F50">
            <v>5.1999999999999998E-2</v>
          </cell>
          <cell r="G50">
            <v>6.5000000000000002E-2</v>
          </cell>
          <cell r="H50">
            <v>0</v>
          </cell>
          <cell r="J50">
            <v>45</v>
          </cell>
          <cell r="K50">
            <v>100000</v>
          </cell>
          <cell r="L50">
            <v>0.05</v>
          </cell>
        </row>
        <row r="51">
          <cell r="C51">
            <v>46</v>
          </cell>
          <cell r="D51">
            <v>0.08</v>
          </cell>
          <cell r="E51">
            <v>5.1999999999999998E-2</v>
          </cell>
          <cell r="F51">
            <v>5.1999999999999998E-2</v>
          </cell>
          <cell r="G51">
            <v>6.5000000000000002E-2</v>
          </cell>
          <cell r="H51">
            <v>0</v>
          </cell>
          <cell r="J51">
            <v>46</v>
          </cell>
          <cell r="K51">
            <v>100000</v>
          </cell>
          <cell r="L51">
            <v>0.05</v>
          </cell>
        </row>
        <row r="52">
          <cell r="C52">
            <v>47</v>
          </cell>
          <cell r="D52">
            <v>0.08</v>
          </cell>
          <cell r="E52">
            <v>5.1999999999999998E-2</v>
          </cell>
          <cell r="F52">
            <v>5.1999999999999998E-2</v>
          </cell>
          <cell r="G52">
            <v>6.5000000000000002E-2</v>
          </cell>
          <cell r="H52">
            <v>0</v>
          </cell>
          <cell r="J52">
            <v>47</v>
          </cell>
          <cell r="K52">
            <v>100000</v>
          </cell>
          <cell r="L52">
            <v>0.05</v>
          </cell>
        </row>
        <row r="53">
          <cell r="C53">
            <v>48</v>
          </cell>
          <cell r="D53">
            <v>0.08</v>
          </cell>
          <cell r="E53">
            <v>5.1999999999999998E-2</v>
          </cell>
          <cell r="F53">
            <v>5.1999999999999998E-2</v>
          </cell>
          <cell r="G53">
            <v>6.5000000000000002E-2</v>
          </cell>
          <cell r="H53">
            <v>0</v>
          </cell>
          <cell r="J53">
            <v>48</v>
          </cell>
          <cell r="K53">
            <v>100000</v>
          </cell>
          <cell r="L53">
            <v>0.05</v>
          </cell>
        </row>
        <row r="54">
          <cell r="C54">
            <v>49</v>
          </cell>
          <cell r="D54">
            <v>0.08</v>
          </cell>
          <cell r="E54">
            <v>5.1999999999999998E-2</v>
          </cell>
          <cell r="F54">
            <v>5.1999999999999998E-2</v>
          </cell>
          <cell r="G54">
            <v>6.5000000000000002E-2</v>
          </cell>
          <cell r="H54">
            <v>0</v>
          </cell>
          <cell r="J54">
            <v>49</v>
          </cell>
          <cell r="K54">
            <v>100000</v>
          </cell>
          <cell r="L54">
            <v>0.05</v>
          </cell>
        </row>
        <row r="55">
          <cell r="C55">
            <v>50</v>
          </cell>
          <cell r="D55">
            <v>0.08</v>
          </cell>
          <cell r="E55">
            <v>5.1999999999999998E-2</v>
          </cell>
          <cell r="F55">
            <v>5.1999999999999998E-2</v>
          </cell>
          <cell r="G55">
            <v>6.5000000000000002E-2</v>
          </cell>
          <cell r="H55">
            <v>0</v>
          </cell>
          <cell r="J55">
            <v>50</v>
          </cell>
          <cell r="K55">
            <v>100000</v>
          </cell>
          <cell r="L55">
            <v>0.05</v>
          </cell>
        </row>
        <row r="56">
          <cell r="C56">
            <v>51</v>
          </cell>
          <cell r="D56">
            <v>0.08</v>
          </cell>
          <cell r="E56">
            <v>5.1999999999999998E-2</v>
          </cell>
          <cell r="F56">
            <v>5.1999999999999998E-2</v>
          </cell>
          <cell r="G56">
            <v>6.5000000000000002E-2</v>
          </cell>
          <cell r="H56">
            <v>0</v>
          </cell>
          <cell r="J56">
            <v>51</v>
          </cell>
          <cell r="K56">
            <v>100000</v>
          </cell>
          <cell r="L56">
            <v>0.05</v>
          </cell>
        </row>
        <row r="57">
          <cell r="C57">
            <v>52</v>
          </cell>
          <cell r="D57">
            <v>0.08</v>
          </cell>
          <cell r="E57">
            <v>5.1999999999999998E-2</v>
          </cell>
          <cell r="F57">
            <v>5.1999999999999998E-2</v>
          </cell>
          <cell r="G57">
            <v>6.5000000000000002E-2</v>
          </cell>
          <cell r="H57">
            <v>0</v>
          </cell>
          <cell r="J57">
            <v>52</v>
          </cell>
          <cell r="K57">
            <v>100000</v>
          </cell>
          <cell r="L57">
            <v>0.05</v>
          </cell>
        </row>
        <row r="58">
          <cell r="C58">
            <v>53</v>
          </cell>
          <cell r="D58">
            <v>0.08</v>
          </cell>
          <cell r="E58">
            <v>5.1999999999999998E-2</v>
          </cell>
          <cell r="F58">
            <v>5.1999999999999998E-2</v>
          </cell>
          <cell r="G58">
            <v>6.5000000000000002E-2</v>
          </cell>
          <cell r="H58">
            <v>0</v>
          </cell>
          <cell r="J58">
            <v>53</v>
          </cell>
          <cell r="K58">
            <v>100000</v>
          </cell>
          <cell r="L58">
            <v>0.05</v>
          </cell>
        </row>
        <row r="59">
          <cell r="C59">
            <v>54</v>
          </cell>
          <cell r="D59">
            <v>0.08</v>
          </cell>
          <cell r="E59">
            <v>5.1999999999999998E-2</v>
          </cell>
          <cell r="F59">
            <v>5.1999999999999998E-2</v>
          </cell>
          <cell r="G59">
            <v>6.5000000000000002E-2</v>
          </cell>
          <cell r="H59">
            <v>0</v>
          </cell>
          <cell r="J59">
            <v>54</v>
          </cell>
          <cell r="K59">
            <v>100000</v>
          </cell>
          <cell r="L59">
            <v>0.05</v>
          </cell>
        </row>
        <row r="60">
          <cell r="C60">
            <v>55</v>
          </cell>
          <cell r="D60">
            <v>0.08</v>
          </cell>
          <cell r="E60">
            <v>5.1999999999999998E-2</v>
          </cell>
          <cell r="F60">
            <v>5.1999999999999998E-2</v>
          </cell>
          <cell r="G60">
            <v>6.5000000000000002E-2</v>
          </cell>
          <cell r="H60">
            <v>0</v>
          </cell>
          <cell r="J60">
            <v>55</v>
          </cell>
          <cell r="K60">
            <v>100000</v>
          </cell>
          <cell r="L60">
            <v>0.05</v>
          </cell>
        </row>
        <row r="61">
          <cell r="C61">
            <v>56</v>
          </cell>
          <cell r="D61">
            <v>0.08</v>
          </cell>
          <cell r="E61">
            <v>5.1999999999999998E-2</v>
          </cell>
          <cell r="F61">
            <v>5.1999999999999998E-2</v>
          </cell>
          <cell r="G61">
            <v>6.5000000000000002E-2</v>
          </cell>
          <cell r="H61">
            <v>0</v>
          </cell>
          <cell r="J61">
            <v>56</v>
          </cell>
          <cell r="K61">
            <v>100000</v>
          </cell>
          <cell r="L61">
            <v>0.05</v>
          </cell>
        </row>
        <row r="62">
          <cell r="C62">
            <v>57</v>
          </cell>
          <cell r="D62">
            <v>0.08</v>
          </cell>
          <cell r="E62">
            <v>5.1999999999999998E-2</v>
          </cell>
          <cell r="F62">
            <v>5.1999999999999998E-2</v>
          </cell>
          <cell r="G62">
            <v>6.5000000000000002E-2</v>
          </cell>
          <cell r="H62">
            <v>0</v>
          </cell>
          <cell r="J62">
            <v>57</v>
          </cell>
          <cell r="K62">
            <v>100000</v>
          </cell>
          <cell r="L62">
            <v>0.05</v>
          </cell>
        </row>
        <row r="63">
          <cell r="C63">
            <v>58</v>
          </cell>
          <cell r="D63">
            <v>0.08</v>
          </cell>
          <cell r="E63">
            <v>5.1999999999999998E-2</v>
          </cell>
          <cell r="F63">
            <v>5.1999999999999998E-2</v>
          </cell>
          <cell r="G63">
            <v>6.5000000000000002E-2</v>
          </cell>
          <cell r="H63">
            <v>0</v>
          </cell>
          <cell r="J63">
            <v>58</v>
          </cell>
          <cell r="K63">
            <v>100000</v>
          </cell>
          <cell r="L63">
            <v>0.05</v>
          </cell>
        </row>
        <row r="64">
          <cell r="C64">
            <v>59</v>
          </cell>
          <cell r="D64">
            <v>0.08</v>
          </cell>
          <cell r="E64">
            <v>5.1999999999999998E-2</v>
          </cell>
          <cell r="F64">
            <v>5.1999999999999998E-2</v>
          </cell>
          <cell r="G64">
            <v>6.5000000000000002E-2</v>
          </cell>
          <cell r="H64">
            <v>0</v>
          </cell>
          <cell r="J64">
            <v>59</v>
          </cell>
          <cell r="K64">
            <v>100000</v>
          </cell>
          <cell r="L64">
            <v>0.05</v>
          </cell>
        </row>
        <row r="65">
          <cell r="C65">
            <v>60</v>
          </cell>
          <cell r="D65">
            <v>0.08</v>
          </cell>
          <cell r="E65">
            <v>5.1999999999999998E-2</v>
          </cell>
          <cell r="F65">
            <v>5.1999999999999998E-2</v>
          </cell>
          <cell r="G65">
            <v>6.5000000000000002E-2</v>
          </cell>
          <cell r="H65">
            <v>0</v>
          </cell>
          <cell r="J65">
            <v>60</v>
          </cell>
          <cell r="K65">
            <v>100000</v>
          </cell>
          <cell r="L65">
            <v>0.05</v>
          </cell>
        </row>
        <row r="66">
          <cell r="C66">
            <v>61</v>
          </cell>
          <cell r="D66">
            <v>0.08</v>
          </cell>
          <cell r="E66">
            <v>5.1999999999999998E-2</v>
          </cell>
          <cell r="F66">
            <v>5.1999999999999998E-2</v>
          </cell>
          <cell r="G66">
            <v>6.5000000000000002E-2</v>
          </cell>
          <cell r="H66">
            <v>0</v>
          </cell>
          <cell r="J66">
            <v>61</v>
          </cell>
          <cell r="K66">
            <v>100000</v>
          </cell>
          <cell r="L66">
            <v>0.05</v>
          </cell>
        </row>
        <row r="67">
          <cell r="C67">
            <v>62</v>
          </cell>
          <cell r="D67">
            <v>0.08</v>
          </cell>
          <cell r="E67">
            <v>5.1999999999999998E-2</v>
          </cell>
          <cell r="F67">
            <v>5.1999999999999998E-2</v>
          </cell>
          <cell r="G67">
            <v>6.5000000000000002E-2</v>
          </cell>
          <cell r="H67">
            <v>0</v>
          </cell>
          <cell r="J67">
            <v>62</v>
          </cell>
          <cell r="K67">
            <v>100000</v>
          </cell>
          <cell r="L67">
            <v>0.05</v>
          </cell>
        </row>
        <row r="68">
          <cell r="C68">
            <v>63</v>
          </cell>
          <cell r="D68">
            <v>0.08</v>
          </cell>
          <cell r="E68">
            <v>5.1999999999999998E-2</v>
          </cell>
          <cell r="F68">
            <v>5.1999999999999998E-2</v>
          </cell>
          <cell r="G68">
            <v>6.5000000000000002E-2</v>
          </cell>
          <cell r="H68">
            <v>0</v>
          </cell>
          <cell r="J68">
            <v>63</v>
          </cell>
          <cell r="K68">
            <v>100000</v>
          </cell>
          <cell r="L68">
            <v>0.05</v>
          </cell>
        </row>
        <row r="69">
          <cell r="C69">
            <v>64</v>
          </cell>
          <cell r="D69">
            <v>0.08</v>
          </cell>
          <cell r="E69">
            <v>5.1999999999999998E-2</v>
          </cell>
          <cell r="F69">
            <v>5.1999999999999998E-2</v>
          </cell>
          <cell r="G69">
            <v>6.5000000000000002E-2</v>
          </cell>
          <cell r="H69">
            <v>0</v>
          </cell>
          <cell r="J69">
            <v>64</v>
          </cell>
          <cell r="K69">
            <v>100000</v>
          </cell>
          <cell r="L69">
            <v>0.05</v>
          </cell>
        </row>
        <row r="70">
          <cell r="C70">
            <v>65</v>
          </cell>
          <cell r="D70">
            <v>0.08</v>
          </cell>
          <cell r="E70">
            <v>5.1999999999999998E-2</v>
          </cell>
          <cell r="F70">
            <v>5.1999999999999998E-2</v>
          </cell>
          <cell r="G70">
            <v>6.5000000000000002E-2</v>
          </cell>
          <cell r="H70">
            <v>0</v>
          </cell>
          <cell r="J70">
            <v>65</v>
          </cell>
          <cell r="K70">
            <v>100000</v>
          </cell>
          <cell r="L70">
            <v>0.05</v>
          </cell>
        </row>
        <row r="71">
          <cell r="C71">
            <v>66</v>
          </cell>
          <cell r="D71">
            <v>0.08</v>
          </cell>
          <cell r="E71">
            <v>5.1999999999999998E-2</v>
          </cell>
          <cell r="F71">
            <v>5.1999999999999998E-2</v>
          </cell>
          <cell r="G71">
            <v>6.5000000000000002E-2</v>
          </cell>
          <cell r="H71">
            <v>0</v>
          </cell>
          <cell r="J71">
            <v>66</v>
          </cell>
          <cell r="K71">
            <v>100000</v>
          </cell>
          <cell r="L71">
            <v>0.05</v>
          </cell>
        </row>
        <row r="72">
          <cell r="C72">
            <v>67</v>
          </cell>
          <cell r="D72">
            <v>0.08</v>
          </cell>
          <cell r="E72">
            <v>5.1999999999999998E-2</v>
          </cell>
          <cell r="F72">
            <v>5.1999999999999998E-2</v>
          </cell>
          <cell r="G72">
            <v>6.5000000000000002E-2</v>
          </cell>
          <cell r="H72">
            <v>0</v>
          </cell>
          <cell r="J72">
            <v>67</v>
          </cell>
          <cell r="K72">
            <v>100000</v>
          </cell>
          <cell r="L72">
            <v>0.05</v>
          </cell>
        </row>
        <row r="73">
          <cell r="C73">
            <v>68</v>
          </cell>
          <cell r="D73">
            <v>0.08</v>
          </cell>
          <cell r="E73">
            <v>5.1999999999999998E-2</v>
          </cell>
          <cell r="F73">
            <v>5.1999999999999998E-2</v>
          </cell>
          <cell r="G73">
            <v>6.5000000000000002E-2</v>
          </cell>
          <cell r="H73">
            <v>0</v>
          </cell>
          <cell r="J73">
            <v>68</v>
          </cell>
          <cell r="K73">
            <v>100000</v>
          </cell>
          <cell r="L73">
            <v>0.05</v>
          </cell>
        </row>
        <row r="74">
          <cell r="C74">
            <v>69</v>
          </cell>
          <cell r="D74">
            <v>0.08</v>
          </cell>
          <cell r="E74">
            <v>5.1999999999999998E-2</v>
          </cell>
          <cell r="F74">
            <v>5.1999999999999998E-2</v>
          </cell>
          <cell r="G74">
            <v>6.5000000000000002E-2</v>
          </cell>
          <cell r="H74">
            <v>0</v>
          </cell>
          <cell r="J74">
            <v>69</v>
          </cell>
          <cell r="K74">
            <v>100000</v>
          </cell>
          <cell r="L74">
            <v>0.05</v>
          </cell>
        </row>
        <row r="75">
          <cell r="C75">
            <v>70</v>
          </cell>
          <cell r="D75">
            <v>0.08</v>
          </cell>
          <cell r="E75">
            <v>5.1999999999999998E-2</v>
          </cell>
          <cell r="F75">
            <v>5.1999999999999998E-2</v>
          </cell>
          <cell r="G75">
            <v>6.5000000000000002E-2</v>
          </cell>
          <cell r="H75">
            <v>0</v>
          </cell>
          <cell r="J75">
            <v>70</v>
          </cell>
          <cell r="K75">
            <v>100000</v>
          </cell>
          <cell r="L75">
            <v>0.05</v>
          </cell>
        </row>
        <row r="76">
          <cell r="C76">
            <v>71</v>
          </cell>
          <cell r="D76">
            <v>0.08</v>
          </cell>
          <cell r="E76">
            <v>5.1999999999999998E-2</v>
          </cell>
          <cell r="F76">
            <v>5.1999999999999998E-2</v>
          </cell>
          <cell r="G76">
            <v>6.5000000000000002E-2</v>
          </cell>
          <cell r="H76">
            <v>0</v>
          </cell>
          <cell r="J76">
            <v>71</v>
          </cell>
          <cell r="K76">
            <v>100000</v>
          </cell>
          <cell r="L76">
            <v>0.05</v>
          </cell>
        </row>
        <row r="77">
          <cell r="C77">
            <v>72</v>
          </cell>
          <cell r="D77">
            <v>0.08</v>
          </cell>
          <cell r="E77">
            <v>5.1999999999999998E-2</v>
          </cell>
          <cell r="F77">
            <v>5.1999999999999998E-2</v>
          </cell>
          <cell r="G77">
            <v>6.5000000000000002E-2</v>
          </cell>
          <cell r="H77">
            <v>0</v>
          </cell>
          <cell r="J77">
            <v>72</v>
          </cell>
          <cell r="K77">
            <v>100000</v>
          </cell>
          <cell r="L77">
            <v>0.05</v>
          </cell>
        </row>
        <row r="78">
          <cell r="C78">
            <v>73</v>
          </cell>
          <cell r="D78">
            <v>0.08</v>
          </cell>
          <cell r="E78">
            <v>5.1999999999999998E-2</v>
          </cell>
          <cell r="F78">
            <v>5.1999999999999998E-2</v>
          </cell>
          <cell r="G78">
            <v>6.5000000000000002E-2</v>
          </cell>
          <cell r="H78">
            <v>0</v>
          </cell>
          <cell r="J78">
            <v>73</v>
          </cell>
          <cell r="K78">
            <v>100000</v>
          </cell>
          <cell r="L78">
            <v>0.05</v>
          </cell>
        </row>
        <row r="79">
          <cell r="C79">
            <v>74</v>
          </cell>
          <cell r="D79">
            <v>0.08</v>
          </cell>
          <cell r="E79">
            <v>5.1999999999999998E-2</v>
          </cell>
          <cell r="F79">
            <v>5.1999999999999998E-2</v>
          </cell>
          <cell r="G79">
            <v>6.5000000000000002E-2</v>
          </cell>
          <cell r="H79">
            <v>0</v>
          </cell>
          <cell r="J79">
            <v>74</v>
          </cell>
          <cell r="K79">
            <v>100000</v>
          </cell>
          <cell r="L79">
            <v>0.05</v>
          </cell>
        </row>
        <row r="80">
          <cell r="C80">
            <v>75</v>
          </cell>
          <cell r="D80">
            <v>0.08</v>
          </cell>
          <cell r="E80">
            <v>5.1999999999999998E-2</v>
          </cell>
          <cell r="F80">
            <v>5.1999999999999998E-2</v>
          </cell>
          <cell r="G80">
            <v>6.5000000000000002E-2</v>
          </cell>
          <cell r="H80">
            <v>0</v>
          </cell>
          <cell r="J80">
            <v>75</v>
          </cell>
          <cell r="K80">
            <v>100000</v>
          </cell>
          <cell r="L80">
            <v>0.05</v>
          </cell>
        </row>
        <row r="81">
          <cell r="C81">
            <v>76</v>
          </cell>
          <cell r="D81">
            <v>0.08</v>
          </cell>
          <cell r="E81">
            <v>5.1999999999999998E-2</v>
          </cell>
          <cell r="F81">
            <v>5.1999999999999998E-2</v>
          </cell>
          <cell r="G81">
            <v>6.5000000000000002E-2</v>
          </cell>
          <cell r="H81">
            <v>0</v>
          </cell>
          <cell r="J81">
            <v>76</v>
          </cell>
          <cell r="K81">
            <v>100000</v>
          </cell>
          <cell r="L81">
            <v>0.05</v>
          </cell>
        </row>
        <row r="82">
          <cell r="C82">
            <v>77</v>
          </cell>
          <cell r="D82">
            <v>0.08</v>
          </cell>
          <cell r="E82">
            <v>5.1999999999999998E-2</v>
          </cell>
          <cell r="F82">
            <v>5.1999999999999998E-2</v>
          </cell>
          <cell r="G82">
            <v>6.5000000000000002E-2</v>
          </cell>
          <cell r="H82">
            <v>0</v>
          </cell>
          <cell r="J82">
            <v>77</v>
          </cell>
          <cell r="K82">
            <v>100000</v>
          </cell>
          <cell r="L82">
            <v>0.05</v>
          </cell>
        </row>
        <row r="83">
          <cell r="C83">
            <v>78</v>
          </cell>
          <cell r="D83">
            <v>0.08</v>
          </cell>
          <cell r="E83">
            <v>5.1999999999999998E-2</v>
          </cell>
          <cell r="F83">
            <v>5.1999999999999998E-2</v>
          </cell>
          <cell r="G83">
            <v>6.5000000000000002E-2</v>
          </cell>
          <cell r="H83">
            <v>0</v>
          </cell>
          <cell r="J83">
            <v>78</v>
          </cell>
          <cell r="K83">
            <v>100000</v>
          </cell>
          <cell r="L83">
            <v>0.05</v>
          </cell>
        </row>
        <row r="84">
          <cell r="C84">
            <v>79</v>
          </cell>
          <cell r="D84">
            <v>0.08</v>
          </cell>
          <cell r="E84">
            <v>5.1999999999999998E-2</v>
          </cell>
          <cell r="F84">
            <v>5.1999999999999998E-2</v>
          </cell>
          <cell r="G84">
            <v>6.5000000000000002E-2</v>
          </cell>
          <cell r="H84">
            <v>0</v>
          </cell>
          <cell r="J84">
            <v>79</v>
          </cell>
          <cell r="K84">
            <v>100000</v>
          </cell>
          <cell r="L84">
            <v>0.05</v>
          </cell>
        </row>
        <row r="85">
          <cell r="C85">
            <v>80</v>
          </cell>
          <cell r="D85">
            <v>0.08</v>
          </cell>
          <cell r="E85">
            <v>5.1999999999999998E-2</v>
          </cell>
          <cell r="F85">
            <v>5.1999999999999998E-2</v>
          </cell>
          <cell r="G85">
            <v>6.5000000000000002E-2</v>
          </cell>
          <cell r="H85">
            <v>0</v>
          </cell>
          <cell r="J85">
            <v>80</v>
          </cell>
          <cell r="K85">
            <v>100000</v>
          </cell>
          <cell r="L85">
            <v>0.05</v>
          </cell>
        </row>
        <row r="86">
          <cell r="C86">
            <v>81</v>
          </cell>
          <cell r="D86">
            <v>0.08</v>
          </cell>
          <cell r="E86">
            <v>5.1999999999999998E-2</v>
          </cell>
          <cell r="F86">
            <v>5.1999999999999998E-2</v>
          </cell>
          <cell r="G86">
            <v>6.5000000000000002E-2</v>
          </cell>
          <cell r="H86">
            <v>0</v>
          </cell>
          <cell r="J86">
            <v>81</v>
          </cell>
          <cell r="K86">
            <v>100000</v>
          </cell>
          <cell r="L86">
            <v>0.05</v>
          </cell>
        </row>
        <row r="87">
          <cell r="C87">
            <v>82</v>
          </cell>
          <cell r="D87">
            <v>0.08</v>
          </cell>
          <cell r="E87">
            <v>5.1999999999999998E-2</v>
          </cell>
          <cell r="F87">
            <v>5.1999999999999998E-2</v>
          </cell>
          <cell r="G87">
            <v>6.5000000000000002E-2</v>
          </cell>
          <cell r="H87">
            <v>0</v>
          </cell>
          <cell r="J87">
            <v>82</v>
          </cell>
          <cell r="K87">
            <v>100000</v>
          </cell>
          <cell r="L87">
            <v>0.05</v>
          </cell>
        </row>
        <row r="88">
          <cell r="C88">
            <v>83</v>
          </cell>
          <cell r="D88">
            <v>0.08</v>
          </cell>
          <cell r="E88">
            <v>5.1999999999999998E-2</v>
          </cell>
          <cell r="F88">
            <v>5.1999999999999998E-2</v>
          </cell>
          <cell r="G88">
            <v>6.5000000000000002E-2</v>
          </cell>
          <cell r="H88">
            <v>0</v>
          </cell>
          <cell r="J88">
            <v>83</v>
          </cell>
          <cell r="K88">
            <v>100000</v>
          </cell>
          <cell r="L88">
            <v>0.05</v>
          </cell>
        </row>
        <row r="89">
          <cell r="C89">
            <v>84</v>
          </cell>
          <cell r="D89">
            <v>0.08</v>
          </cell>
          <cell r="E89">
            <v>5.1999999999999998E-2</v>
          </cell>
          <cell r="F89">
            <v>5.1999999999999998E-2</v>
          </cell>
          <cell r="G89">
            <v>6.5000000000000002E-2</v>
          </cell>
          <cell r="H89">
            <v>0</v>
          </cell>
          <cell r="J89">
            <v>84</v>
          </cell>
          <cell r="K89">
            <v>100000</v>
          </cell>
          <cell r="L89">
            <v>0.05</v>
          </cell>
        </row>
        <row r="90">
          <cell r="C90">
            <v>85</v>
          </cell>
          <cell r="D90">
            <v>0.08</v>
          </cell>
          <cell r="E90">
            <v>5.1999999999999998E-2</v>
          </cell>
          <cell r="F90">
            <v>5.1999999999999998E-2</v>
          </cell>
          <cell r="G90">
            <v>6.5000000000000002E-2</v>
          </cell>
          <cell r="H90">
            <v>0</v>
          </cell>
          <cell r="J90">
            <v>85</v>
          </cell>
          <cell r="K90">
            <v>100000</v>
          </cell>
          <cell r="L90">
            <v>0.05</v>
          </cell>
        </row>
        <row r="91">
          <cell r="C91">
            <v>86</v>
          </cell>
          <cell r="D91">
            <v>0.08</v>
          </cell>
          <cell r="E91">
            <v>5.1999999999999998E-2</v>
          </cell>
          <cell r="F91">
            <v>5.1999999999999998E-2</v>
          </cell>
          <cell r="G91">
            <v>6.5000000000000002E-2</v>
          </cell>
          <cell r="H91">
            <v>0</v>
          </cell>
          <cell r="J91">
            <v>86</v>
          </cell>
          <cell r="K91">
            <v>100000</v>
          </cell>
          <cell r="L91">
            <v>0.05</v>
          </cell>
        </row>
        <row r="92">
          <cell r="C92">
            <v>87</v>
          </cell>
          <cell r="D92">
            <v>0.08</v>
          </cell>
          <cell r="E92">
            <v>5.1999999999999998E-2</v>
          </cell>
          <cell r="F92">
            <v>5.1999999999999998E-2</v>
          </cell>
          <cell r="G92">
            <v>6.5000000000000002E-2</v>
          </cell>
          <cell r="H92">
            <v>0</v>
          </cell>
          <cell r="J92">
            <v>87</v>
          </cell>
          <cell r="K92">
            <v>100000</v>
          </cell>
          <cell r="L92">
            <v>0.05</v>
          </cell>
        </row>
        <row r="93">
          <cell r="C93">
            <v>88</v>
          </cell>
          <cell r="D93">
            <v>0.08</v>
          </cell>
          <cell r="E93">
            <v>5.1999999999999998E-2</v>
          </cell>
          <cell r="F93">
            <v>5.1999999999999998E-2</v>
          </cell>
          <cell r="G93">
            <v>6.5000000000000002E-2</v>
          </cell>
          <cell r="H93">
            <v>0</v>
          </cell>
          <cell r="J93">
            <v>88</v>
          </cell>
          <cell r="K93">
            <v>100000</v>
          </cell>
          <cell r="L93">
            <v>0.05</v>
          </cell>
        </row>
        <row r="94">
          <cell r="C94">
            <v>89</v>
          </cell>
          <cell r="D94">
            <v>0.08</v>
          </cell>
          <cell r="E94">
            <v>5.1999999999999998E-2</v>
          </cell>
          <cell r="F94">
            <v>5.1999999999999998E-2</v>
          </cell>
          <cell r="G94">
            <v>6.5000000000000002E-2</v>
          </cell>
          <cell r="H94">
            <v>0</v>
          </cell>
          <cell r="J94">
            <v>89</v>
          </cell>
          <cell r="K94">
            <v>100000</v>
          </cell>
          <cell r="L94">
            <v>0.05</v>
          </cell>
        </row>
        <row r="95">
          <cell r="C95">
            <v>90</v>
          </cell>
          <cell r="D95">
            <v>0.08</v>
          </cell>
          <cell r="E95">
            <v>5.1999999999999998E-2</v>
          </cell>
          <cell r="F95">
            <v>5.1999999999999998E-2</v>
          </cell>
          <cell r="G95">
            <v>6.5000000000000002E-2</v>
          </cell>
          <cell r="H95">
            <v>0</v>
          </cell>
          <cell r="J95">
            <v>90</v>
          </cell>
          <cell r="K95">
            <v>100000</v>
          </cell>
          <cell r="L95">
            <v>0.05</v>
          </cell>
        </row>
        <row r="96">
          <cell r="C96">
            <v>91</v>
          </cell>
          <cell r="D96">
            <v>0.08</v>
          </cell>
          <cell r="E96">
            <v>5.1999999999999998E-2</v>
          </cell>
          <cell r="F96">
            <v>5.1999999999999998E-2</v>
          </cell>
          <cell r="G96">
            <v>6.5000000000000002E-2</v>
          </cell>
          <cell r="H96">
            <v>0</v>
          </cell>
          <cell r="J96">
            <v>91</v>
          </cell>
          <cell r="K96">
            <v>100000</v>
          </cell>
          <cell r="L96">
            <v>0.05</v>
          </cell>
        </row>
        <row r="97">
          <cell r="C97">
            <v>92</v>
          </cell>
          <cell r="D97">
            <v>0.08</v>
          </cell>
          <cell r="E97">
            <v>5.1999999999999998E-2</v>
          </cell>
          <cell r="F97">
            <v>5.1999999999999998E-2</v>
          </cell>
          <cell r="G97">
            <v>6.5000000000000002E-2</v>
          </cell>
          <cell r="H97">
            <v>0</v>
          </cell>
          <cell r="J97">
            <v>92</v>
          </cell>
          <cell r="K97">
            <v>100000</v>
          </cell>
          <cell r="L97">
            <v>0.05</v>
          </cell>
        </row>
        <row r="98">
          <cell r="C98">
            <v>93</v>
          </cell>
          <cell r="D98">
            <v>0.08</v>
          </cell>
          <cell r="E98">
            <v>5.1999999999999998E-2</v>
          </cell>
          <cell r="F98">
            <v>5.1999999999999998E-2</v>
          </cell>
          <cell r="G98">
            <v>6.5000000000000002E-2</v>
          </cell>
          <cell r="H98">
            <v>0</v>
          </cell>
          <cell r="J98">
            <v>93</v>
          </cell>
          <cell r="K98">
            <v>100000</v>
          </cell>
          <cell r="L98">
            <v>0.05</v>
          </cell>
        </row>
        <row r="99">
          <cell r="C99">
            <v>94</v>
          </cell>
          <cell r="D99">
            <v>0.08</v>
          </cell>
          <cell r="E99">
            <v>5.1999999999999998E-2</v>
          </cell>
          <cell r="F99">
            <v>5.1999999999999998E-2</v>
          </cell>
          <cell r="G99">
            <v>6.5000000000000002E-2</v>
          </cell>
          <cell r="H99">
            <v>0</v>
          </cell>
          <cell r="J99">
            <v>94</v>
          </cell>
          <cell r="K99">
            <v>100000</v>
          </cell>
          <cell r="L99">
            <v>0.05</v>
          </cell>
        </row>
        <row r="100">
          <cell r="C100">
            <v>95</v>
          </cell>
          <cell r="D100">
            <v>0.08</v>
          </cell>
          <cell r="E100">
            <v>5.1999999999999998E-2</v>
          </cell>
          <cell r="F100">
            <v>5.1999999999999998E-2</v>
          </cell>
          <cell r="G100">
            <v>6.5000000000000002E-2</v>
          </cell>
          <cell r="H100">
            <v>0</v>
          </cell>
          <cell r="J100">
            <v>95</v>
          </cell>
          <cell r="K100">
            <v>100000</v>
          </cell>
          <cell r="L100">
            <v>0.05</v>
          </cell>
        </row>
        <row r="101">
          <cell r="C101">
            <v>96</v>
          </cell>
          <cell r="D101">
            <v>0.08</v>
          </cell>
          <cell r="E101">
            <v>5.1999999999999998E-2</v>
          </cell>
          <cell r="F101">
            <v>5.1999999999999998E-2</v>
          </cell>
          <cell r="G101">
            <v>6.5000000000000002E-2</v>
          </cell>
          <cell r="H101">
            <v>0</v>
          </cell>
          <cell r="J101">
            <v>96</v>
          </cell>
          <cell r="K101">
            <v>100000</v>
          </cell>
          <cell r="L101">
            <v>0.05</v>
          </cell>
        </row>
        <row r="102">
          <cell r="C102">
            <v>97</v>
          </cell>
          <cell r="D102">
            <v>0.08</v>
          </cell>
          <cell r="E102">
            <v>5.1999999999999998E-2</v>
          </cell>
          <cell r="F102">
            <v>5.1999999999999998E-2</v>
          </cell>
          <cell r="G102">
            <v>6.5000000000000002E-2</v>
          </cell>
          <cell r="H102">
            <v>0</v>
          </cell>
          <cell r="J102">
            <v>97</v>
          </cell>
          <cell r="K102">
            <v>100000</v>
          </cell>
          <cell r="L102">
            <v>0.05</v>
          </cell>
        </row>
        <row r="103">
          <cell r="C103">
            <v>98</v>
          </cell>
          <cell r="D103">
            <v>0.08</v>
          </cell>
          <cell r="E103">
            <v>5.1999999999999998E-2</v>
          </cell>
          <cell r="F103">
            <v>5.1999999999999998E-2</v>
          </cell>
          <cell r="G103">
            <v>6.5000000000000002E-2</v>
          </cell>
          <cell r="H103">
            <v>0</v>
          </cell>
          <cell r="J103">
            <v>98</v>
          </cell>
          <cell r="K103">
            <v>100000</v>
          </cell>
          <cell r="L103">
            <v>0.05</v>
          </cell>
        </row>
        <row r="104">
          <cell r="C104">
            <v>99</v>
          </cell>
          <cell r="D104">
            <v>0.08</v>
          </cell>
          <cell r="E104">
            <v>5.1999999999999998E-2</v>
          </cell>
          <cell r="F104">
            <v>5.1999999999999998E-2</v>
          </cell>
          <cell r="G104">
            <v>6.5000000000000002E-2</v>
          </cell>
          <cell r="H104">
            <v>0</v>
          </cell>
          <cell r="J104">
            <v>99</v>
          </cell>
          <cell r="K104">
            <v>100000</v>
          </cell>
          <cell r="L104">
            <v>0.05</v>
          </cell>
        </row>
        <row r="105">
          <cell r="C105">
            <v>100</v>
          </cell>
          <cell r="D105">
            <v>0.08</v>
          </cell>
          <cell r="E105">
            <v>5.1999999999999998E-2</v>
          </cell>
          <cell r="F105">
            <v>5.1999999999999998E-2</v>
          </cell>
          <cell r="G105">
            <v>6.5000000000000002E-2</v>
          </cell>
          <cell r="H105">
            <v>0</v>
          </cell>
          <cell r="J105">
            <v>100</v>
          </cell>
          <cell r="K105">
            <v>100000</v>
          </cell>
          <cell r="L105">
            <v>0.05</v>
          </cell>
        </row>
        <row r="106">
          <cell r="C106">
            <v>101</v>
          </cell>
          <cell r="D106">
            <v>0.08</v>
          </cell>
          <cell r="E106">
            <v>5.1999999999999998E-2</v>
          </cell>
          <cell r="F106">
            <v>5.1999999999999998E-2</v>
          </cell>
          <cell r="G106">
            <v>6.5000000000000002E-2</v>
          </cell>
          <cell r="H106">
            <v>0</v>
          </cell>
          <cell r="J106">
            <v>101</v>
          </cell>
          <cell r="K106">
            <v>100000</v>
          </cell>
          <cell r="L106">
            <v>0.05</v>
          </cell>
        </row>
        <row r="107">
          <cell r="C107">
            <v>102</v>
          </cell>
          <cell r="D107">
            <v>0.08</v>
          </cell>
          <cell r="E107">
            <v>5.1999999999999998E-2</v>
          </cell>
          <cell r="F107">
            <v>5.1999999999999998E-2</v>
          </cell>
          <cell r="G107">
            <v>6.5000000000000002E-2</v>
          </cell>
          <cell r="H107">
            <v>0</v>
          </cell>
          <cell r="J107">
            <v>102</v>
          </cell>
          <cell r="K107">
            <v>100000</v>
          </cell>
          <cell r="L107">
            <v>0.05</v>
          </cell>
        </row>
        <row r="108">
          <cell r="C108">
            <v>103</v>
          </cell>
          <cell r="D108">
            <v>0.08</v>
          </cell>
          <cell r="E108">
            <v>5.1999999999999998E-2</v>
          </cell>
          <cell r="F108">
            <v>5.1999999999999998E-2</v>
          </cell>
          <cell r="G108">
            <v>6.5000000000000002E-2</v>
          </cell>
          <cell r="H108">
            <v>0</v>
          </cell>
          <cell r="J108">
            <v>103</v>
          </cell>
          <cell r="K108">
            <v>100000</v>
          </cell>
          <cell r="L108">
            <v>0.05</v>
          </cell>
        </row>
        <row r="109">
          <cell r="C109">
            <v>104</v>
          </cell>
          <cell r="D109">
            <v>0.08</v>
          </cell>
          <cell r="E109">
            <v>5.1999999999999998E-2</v>
          </cell>
          <cell r="F109">
            <v>5.1999999999999998E-2</v>
          </cell>
          <cell r="G109">
            <v>6.5000000000000002E-2</v>
          </cell>
          <cell r="H109">
            <v>0</v>
          </cell>
          <cell r="J109">
            <v>104</v>
          </cell>
          <cell r="K109">
            <v>100000</v>
          </cell>
          <cell r="L109">
            <v>0.05</v>
          </cell>
        </row>
        <row r="110">
          <cell r="C110">
            <v>105</v>
          </cell>
          <cell r="D110">
            <v>0.08</v>
          </cell>
          <cell r="E110">
            <v>5.1999999999999998E-2</v>
          </cell>
          <cell r="F110">
            <v>5.1999999999999998E-2</v>
          </cell>
          <cell r="G110">
            <v>6.5000000000000002E-2</v>
          </cell>
          <cell r="H110">
            <v>0</v>
          </cell>
          <cell r="J110">
            <v>105</v>
          </cell>
          <cell r="K110">
            <v>100000</v>
          </cell>
          <cell r="L110">
            <v>0.05</v>
          </cell>
        </row>
        <row r="111">
          <cell r="C111">
            <v>106</v>
          </cell>
          <cell r="D111">
            <v>0.08</v>
          </cell>
          <cell r="E111">
            <v>5.1999999999999998E-2</v>
          </cell>
          <cell r="F111">
            <v>5.1999999999999998E-2</v>
          </cell>
          <cell r="G111">
            <v>6.5000000000000002E-2</v>
          </cell>
          <cell r="H111">
            <v>0</v>
          </cell>
          <cell r="J111">
            <v>106</v>
          </cell>
          <cell r="K111">
            <v>100000</v>
          </cell>
          <cell r="L111">
            <v>0.05</v>
          </cell>
        </row>
        <row r="112">
          <cell r="C112">
            <v>107</v>
          </cell>
          <cell r="D112">
            <v>0.08</v>
          </cell>
          <cell r="E112">
            <v>5.1999999999999998E-2</v>
          </cell>
          <cell r="F112">
            <v>5.1999999999999998E-2</v>
          </cell>
          <cell r="G112">
            <v>6.5000000000000002E-2</v>
          </cell>
          <cell r="H112">
            <v>0</v>
          </cell>
          <cell r="J112">
            <v>107</v>
          </cell>
          <cell r="K112">
            <v>100000</v>
          </cell>
          <cell r="L112">
            <v>0.05</v>
          </cell>
        </row>
        <row r="113">
          <cell r="C113">
            <v>108</v>
          </cell>
          <cell r="D113">
            <v>0.08</v>
          </cell>
          <cell r="E113">
            <v>5.1999999999999998E-2</v>
          </cell>
          <cell r="F113">
            <v>5.1999999999999998E-2</v>
          </cell>
          <cell r="G113">
            <v>6.5000000000000002E-2</v>
          </cell>
          <cell r="H113">
            <v>0</v>
          </cell>
          <cell r="J113">
            <v>108</v>
          </cell>
          <cell r="K113">
            <v>100000</v>
          </cell>
          <cell r="L113">
            <v>0.05</v>
          </cell>
        </row>
        <row r="114">
          <cell r="C114">
            <v>109</v>
          </cell>
          <cell r="D114">
            <v>0.08</v>
          </cell>
          <cell r="E114">
            <v>5.1999999999999998E-2</v>
          </cell>
          <cell r="F114">
            <v>5.1999999999999998E-2</v>
          </cell>
          <cell r="G114">
            <v>6.5000000000000002E-2</v>
          </cell>
          <cell r="H114">
            <v>0</v>
          </cell>
          <cell r="J114">
            <v>109</v>
          </cell>
          <cell r="K114">
            <v>100000</v>
          </cell>
          <cell r="L114">
            <v>0.05</v>
          </cell>
        </row>
        <row r="115">
          <cell r="C115">
            <v>110</v>
          </cell>
          <cell r="D115">
            <v>0.08</v>
          </cell>
          <cell r="E115">
            <v>5.1999999999999998E-2</v>
          </cell>
          <cell r="F115">
            <v>5.1999999999999998E-2</v>
          </cell>
          <cell r="G115">
            <v>6.5000000000000002E-2</v>
          </cell>
          <cell r="H115">
            <v>0</v>
          </cell>
          <cell r="J115">
            <v>110</v>
          </cell>
          <cell r="K115">
            <v>100000</v>
          </cell>
          <cell r="L115">
            <v>0.05</v>
          </cell>
        </row>
        <row r="116">
          <cell r="C116">
            <v>111</v>
          </cell>
          <cell r="D116">
            <v>0.08</v>
          </cell>
          <cell r="E116">
            <v>5.1999999999999998E-2</v>
          </cell>
          <cell r="F116">
            <v>5.1999999999999998E-2</v>
          </cell>
          <cell r="G116">
            <v>6.5000000000000002E-2</v>
          </cell>
          <cell r="H116">
            <v>0</v>
          </cell>
          <cell r="J116">
            <v>111</v>
          </cell>
          <cell r="K116">
            <v>100000</v>
          </cell>
          <cell r="L116">
            <v>0.05</v>
          </cell>
        </row>
        <row r="117">
          <cell r="C117">
            <v>112</v>
          </cell>
          <cell r="D117">
            <v>0.08</v>
          </cell>
          <cell r="E117">
            <v>5.1999999999999998E-2</v>
          </cell>
          <cell r="F117">
            <v>5.1999999999999998E-2</v>
          </cell>
          <cell r="G117">
            <v>6.5000000000000002E-2</v>
          </cell>
          <cell r="H117">
            <v>0</v>
          </cell>
          <cell r="J117">
            <v>112</v>
          </cell>
          <cell r="K117">
            <v>100000</v>
          </cell>
          <cell r="L117">
            <v>0.05</v>
          </cell>
        </row>
        <row r="118">
          <cell r="C118">
            <v>113</v>
          </cell>
          <cell r="D118">
            <v>0.08</v>
          </cell>
          <cell r="E118">
            <v>5.1999999999999998E-2</v>
          </cell>
          <cell r="F118">
            <v>5.1999999999999998E-2</v>
          </cell>
          <cell r="G118">
            <v>6.5000000000000002E-2</v>
          </cell>
          <cell r="H118">
            <v>0</v>
          </cell>
          <cell r="J118">
            <v>113</v>
          </cell>
          <cell r="K118">
            <v>100000</v>
          </cell>
          <cell r="L118">
            <v>0.05</v>
          </cell>
        </row>
        <row r="119">
          <cell r="C119">
            <v>114</v>
          </cell>
          <cell r="D119">
            <v>0.08</v>
          </cell>
          <cell r="E119">
            <v>5.1999999999999998E-2</v>
          </cell>
          <cell r="F119">
            <v>5.1999999999999998E-2</v>
          </cell>
          <cell r="G119">
            <v>6.5000000000000002E-2</v>
          </cell>
          <cell r="H119">
            <v>0</v>
          </cell>
          <cell r="J119">
            <v>114</v>
          </cell>
          <cell r="K119">
            <v>100000</v>
          </cell>
          <cell r="L119">
            <v>0.05</v>
          </cell>
        </row>
        <row r="120">
          <cell r="C120">
            <v>115</v>
          </cell>
          <cell r="D120">
            <v>0.08</v>
          </cell>
          <cell r="E120">
            <v>5.1999999999999998E-2</v>
          </cell>
          <cell r="F120">
            <v>5.1999999999999998E-2</v>
          </cell>
          <cell r="G120">
            <v>6.5000000000000002E-2</v>
          </cell>
          <cell r="H120">
            <v>0</v>
          </cell>
          <cell r="J120">
            <v>115</v>
          </cell>
          <cell r="K120">
            <v>100000</v>
          </cell>
          <cell r="L120">
            <v>0.05</v>
          </cell>
        </row>
        <row r="121">
          <cell r="C121">
            <v>116</v>
          </cell>
          <cell r="D121">
            <v>0.08</v>
          </cell>
          <cell r="E121">
            <v>5.1999999999999998E-2</v>
          </cell>
          <cell r="F121">
            <v>5.1999999999999998E-2</v>
          </cell>
          <cell r="G121">
            <v>6.5000000000000002E-2</v>
          </cell>
          <cell r="H121">
            <v>0</v>
          </cell>
          <cell r="J121">
            <v>116</v>
          </cell>
          <cell r="K121">
            <v>100000</v>
          </cell>
          <cell r="L121">
            <v>0.05</v>
          </cell>
        </row>
        <row r="122">
          <cell r="C122">
            <v>117</v>
          </cell>
          <cell r="D122">
            <v>0.08</v>
          </cell>
          <cell r="E122">
            <v>5.1999999999999998E-2</v>
          </cell>
          <cell r="F122">
            <v>5.1999999999999998E-2</v>
          </cell>
          <cell r="G122">
            <v>6.5000000000000002E-2</v>
          </cell>
          <cell r="H122">
            <v>0</v>
          </cell>
          <cell r="J122">
            <v>117</v>
          </cell>
          <cell r="K122">
            <v>100000</v>
          </cell>
          <cell r="L122">
            <v>0.05</v>
          </cell>
        </row>
        <row r="123">
          <cell r="C123">
            <v>118</v>
          </cell>
          <cell r="D123">
            <v>0.08</v>
          </cell>
          <cell r="E123">
            <v>5.1999999999999998E-2</v>
          </cell>
          <cell r="F123">
            <v>5.1999999999999998E-2</v>
          </cell>
          <cell r="G123">
            <v>6.5000000000000002E-2</v>
          </cell>
          <cell r="H123">
            <v>0</v>
          </cell>
          <cell r="J123">
            <v>118</v>
          </cell>
          <cell r="K123">
            <v>100000</v>
          </cell>
          <cell r="L123">
            <v>0.05</v>
          </cell>
        </row>
        <row r="124">
          <cell r="C124">
            <v>119</v>
          </cell>
          <cell r="D124">
            <v>0.08</v>
          </cell>
          <cell r="E124">
            <v>5.1999999999999998E-2</v>
          </cell>
          <cell r="F124">
            <v>5.1999999999999998E-2</v>
          </cell>
          <cell r="G124">
            <v>6.5000000000000002E-2</v>
          </cell>
          <cell r="H124">
            <v>0</v>
          </cell>
          <cell r="J124">
            <v>119</v>
          </cell>
          <cell r="K124">
            <v>100000</v>
          </cell>
          <cell r="L124">
            <v>0.05</v>
          </cell>
        </row>
        <row r="125">
          <cell r="C125">
            <v>120</v>
          </cell>
          <cell r="D125">
            <v>0.08</v>
          </cell>
          <cell r="E125">
            <v>5.1999999999999998E-2</v>
          </cell>
          <cell r="F125">
            <v>5.1999999999999998E-2</v>
          </cell>
          <cell r="G125">
            <v>6.5000000000000002E-2</v>
          </cell>
          <cell r="H125">
            <v>0</v>
          </cell>
          <cell r="J125">
            <v>120</v>
          </cell>
          <cell r="K125">
            <v>100000</v>
          </cell>
          <cell r="L125">
            <v>0.05</v>
          </cell>
        </row>
      </sheetData>
      <sheetData sheetId="10">
        <row r="18">
          <cell r="A18">
            <v>0</v>
          </cell>
          <cell r="B18"/>
          <cell r="C18"/>
          <cell r="E18"/>
          <cell r="G18"/>
          <cell r="H18"/>
          <cell r="I18"/>
          <cell r="J18"/>
          <cell r="K18"/>
          <cell r="M18"/>
          <cell r="N18">
            <v>0</v>
          </cell>
          <cell r="U18"/>
          <cell r="V18"/>
          <cell r="W18"/>
          <cell r="X18"/>
          <cell r="Y18"/>
          <cell r="Z18"/>
          <cell r="AA18"/>
          <cell r="AH18"/>
          <cell r="AK18"/>
          <cell r="AL18"/>
          <cell r="AM18"/>
          <cell r="AN18"/>
          <cell r="AO18"/>
          <cell r="AR18"/>
          <cell r="AS18"/>
          <cell r="AT18"/>
          <cell r="AU18"/>
          <cell r="AV18"/>
          <cell r="BA18"/>
        </row>
        <row r="19">
          <cell r="A19">
            <v>1</v>
          </cell>
          <cell r="B19">
            <v>35</v>
          </cell>
          <cell r="C19">
            <v>97</v>
          </cell>
          <cell r="D19">
            <v>73.331999999999994</v>
          </cell>
          <cell r="E19">
            <v>12.7</v>
          </cell>
          <cell r="F19">
            <v>6.8500000000000005</v>
          </cell>
          <cell r="G19">
            <v>2465.4854850887418</v>
          </cell>
          <cell r="H19">
            <v>2465.4854850887418</v>
          </cell>
          <cell r="I19">
            <v>1465.4854850887418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Q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35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BA19">
            <v>2423.6544824857556</v>
          </cell>
          <cell r="CC19">
            <v>0</v>
          </cell>
        </row>
        <row r="20">
          <cell r="A20">
            <v>2</v>
          </cell>
          <cell r="B20">
            <v>36</v>
          </cell>
          <cell r="C20">
            <v>97</v>
          </cell>
          <cell r="D20">
            <v>14.550000000000002</v>
          </cell>
          <cell r="E20">
            <v>0</v>
          </cell>
          <cell r="F20">
            <v>6.9816000000000003</v>
          </cell>
          <cell r="G20">
            <v>2436.8786990453068</v>
          </cell>
          <cell r="H20">
            <v>2436.8786990453068</v>
          </cell>
          <cell r="I20">
            <v>1436.8786990453068</v>
          </cell>
          <cell r="J20">
            <v>0</v>
          </cell>
          <cell r="K20">
            <v>0</v>
          </cell>
          <cell r="L20">
            <v>0</v>
          </cell>
          <cell r="M20">
            <v>20</v>
          </cell>
          <cell r="N20">
            <v>0</v>
          </cell>
          <cell r="Q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35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36.224999999999994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BA20">
            <v>2338.457616447688</v>
          </cell>
          <cell r="CC20">
            <v>0</v>
          </cell>
        </row>
        <row r="21">
          <cell r="A21">
            <v>3</v>
          </cell>
          <cell r="B21">
            <v>37</v>
          </cell>
          <cell r="C21">
            <v>97</v>
          </cell>
          <cell r="D21">
            <v>14.550000000000002</v>
          </cell>
          <cell r="E21">
            <v>0</v>
          </cell>
          <cell r="F21">
            <v>7.1218592800000007</v>
          </cell>
          <cell r="G21">
            <v>2405.983370118397</v>
          </cell>
          <cell r="H21">
            <v>2405.983370118397</v>
          </cell>
          <cell r="I21">
            <v>1405.9833701183973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92.089399207208146</v>
          </cell>
          <cell r="Q21">
            <v>92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35.497473366249999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71.224999999999994</v>
          </cell>
          <cell r="AI21">
            <v>23.255674750000001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37.492874999999998</v>
          </cell>
          <cell r="AQ21">
            <v>12.241798616249998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BA21">
            <v>2226.9743350357026</v>
          </cell>
          <cell r="CC21">
            <v>115.34507395720814</v>
          </cell>
        </row>
        <row r="22">
          <cell r="A22">
            <v>4</v>
          </cell>
          <cell r="B22">
            <v>38</v>
          </cell>
          <cell r="C22">
            <v>97</v>
          </cell>
          <cell r="D22">
            <v>4.8500000000000005</v>
          </cell>
          <cell r="E22">
            <v>0</v>
          </cell>
          <cell r="F22">
            <v>7.2713476206240006</v>
          </cell>
          <cell r="G22">
            <v>2372.616414877335</v>
          </cell>
          <cell r="H22">
            <v>2372.616414877335</v>
          </cell>
          <cell r="I22">
            <v>1372.6164148773348</v>
          </cell>
          <cell r="J22">
            <v>0</v>
          </cell>
          <cell r="K22">
            <v>0</v>
          </cell>
          <cell r="L22">
            <v>0</v>
          </cell>
          <cell r="M22">
            <v>20</v>
          </cell>
          <cell r="N22">
            <v>124.7540490912088</v>
          </cell>
          <cell r="Q22">
            <v>140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51.051809596287491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108.71787499999999</v>
          </cell>
          <cell r="AI22">
            <v>37.622907822499997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38.805125624999988</v>
          </cell>
          <cell r="AQ22">
            <v>13.428901773787494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BA22">
            <v>2127.544652786908</v>
          </cell>
          <cell r="CC22">
            <v>162.3769569137088</v>
          </cell>
        </row>
        <row r="23">
          <cell r="A23">
            <v>5</v>
          </cell>
          <cell r="B23">
            <v>39</v>
          </cell>
          <cell r="C23">
            <v>97</v>
          </cell>
          <cell r="D23">
            <v>4.8500000000000005</v>
          </cell>
          <cell r="E23">
            <v>0</v>
          </cell>
          <cell r="F23">
            <v>7.4306722940610594</v>
          </cell>
          <cell r="G23">
            <v>2336.5801032169875</v>
          </cell>
          <cell r="H23">
            <v>2336.5801032169875</v>
          </cell>
          <cell r="I23">
            <v>1336.5801032169875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175.22284162293499</v>
          </cell>
          <cell r="Q23">
            <v>175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68.841460048217272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147.52300062499998</v>
          </cell>
          <cell r="AI23">
            <v>54.109961399243744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40.163305021875004</v>
          </cell>
          <cell r="AQ23">
            <v>14.731498648973528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BA23">
            <v>2000.6692296938943</v>
          </cell>
          <cell r="CC23">
            <v>229.33280302217872</v>
          </cell>
        </row>
        <row r="24">
          <cell r="A24">
            <v>6</v>
          </cell>
          <cell r="B24">
            <v>40</v>
          </cell>
          <cell r="C24">
            <v>97</v>
          </cell>
          <cell r="D24">
            <v>0</v>
          </cell>
          <cell r="E24">
            <v>0</v>
          </cell>
          <cell r="F24">
            <v>7.6004805310102777</v>
          </cell>
          <cell r="G24">
            <v>2297.6608866238121</v>
          </cell>
          <cell r="H24">
            <v>2297.6608866238121</v>
          </cell>
          <cell r="I24">
            <v>1297.6608866238121</v>
          </cell>
          <cell r="J24">
            <v>0</v>
          </cell>
          <cell r="K24">
            <v>0</v>
          </cell>
          <cell r="L24">
            <v>0</v>
          </cell>
          <cell r="M24">
            <v>20</v>
          </cell>
          <cell r="N24">
            <v>212.72020192904452</v>
          </cell>
          <cell r="Q24">
            <v>228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89.125300669693885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187.68630564687498</v>
          </cell>
          <cell r="AI24">
            <v>72.964928183279113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41.569020697640639</v>
          </cell>
          <cell r="AQ24">
            <v>16.160372486414772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BA24">
            <v>1884.563603552735</v>
          </cell>
          <cell r="CC24">
            <v>285.68513011232363</v>
          </cell>
        </row>
        <row r="25">
          <cell r="A25">
            <v>7</v>
          </cell>
          <cell r="B25">
            <v>41</v>
          </cell>
          <cell r="C25">
            <v>97</v>
          </cell>
          <cell r="D25">
            <v>0</v>
          </cell>
          <cell r="E25">
            <v>0</v>
          </cell>
          <cell r="F25">
            <v>7.7814621499507535</v>
          </cell>
          <cell r="G25">
            <v>2255.6281327031834</v>
          </cell>
          <cell r="H25">
            <v>2255.6281327031834</v>
          </cell>
          <cell r="I25">
            <v>1255.6281327031834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268.42926833017725</v>
          </cell>
          <cell r="Q25">
            <v>268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112.20900697873269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229.25532634451562</v>
          </cell>
          <cell r="AI25">
            <v>94.478412539838331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43.023936422058085</v>
          </cell>
          <cell r="AQ25">
            <v>17.730594438894357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BA25">
            <v>1739.4634023833933</v>
          </cell>
          <cell r="CC25">
            <v>362.90768087001561</v>
          </cell>
        </row>
        <row r="26">
          <cell r="A26">
            <v>8</v>
          </cell>
          <cell r="B26">
            <v>42</v>
          </cell>
          <cell r="C26">
            <v>97</v>
          </cell>
          <cell r="D26">
            <v>0</v>
          </cell>
          <cell r="E26">
            <v>0</v>
          </cell>
          <cell r="F26">
            <v>7.9743523594175141</v>
          </cell>
          <cell r="G26">
            <v>2210.2327584689037</v>
          </cell>
          <cell r="H26">
            <v>2210.2327584689037</v>
          </cell>
          <cell r="I26">
            <v>1210.2327584689037</v>
          </cell>
          <cell r="J26">
            <v>0</v>
          </cell>
          <cell r="K26">
            <v>0</v>
          </cell>
          <cell r="L26">
            <v>0</v>
          </cell>
          <cell r="M26">
            <v>20</v>
          </cell>
          <cell r="N26">
            <v>311.66696975257241</v>
          </cell>
          <cell r="Q26">
            <v>327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138.42020443005038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272.27926276657371</v>
          </cell>
          <cell r="AI26">
            <v>118.96425548797137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44.52977419683009</v>
          </cell>
          <cell r="AQ26">
            <v>19.455948942079004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BA26">
            <v>1603.3611632480822</v>
          </cell>
          <cell r="CC26">
            <v>430.63122524054381</v>
          </cell>
        </row>
        <row r="27">
          <cell r="A27">
            <v>9</v>
          </cell>
          <cell r="B27">
            <v>43</v>
          </cell>
          <cell r="C27">
            <v>97</v>
          </cell>
          <cell r="D27">
            <v>0</v>
          </cell>
          <cell r="E27">
            <v>0</v>
          </cell>
          <cell r="F27">
            <v>8.179934744667186</v>
          </cell>
          <cell r="G27">
            <v>2161.2057542958819</v>
          </cell>
          <cell r="H27">
            <v>2161.2057542958819</v>
          </cell>
          <cell r="I27">
            <v>1161.2057542958819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373.62493733591742</v>
          </cell>
          <cell r="Q27">
            <v>373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168.14123068462277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316.8090369634038</v>
          </cell>
          <cell r="AI27">
            <v>146.78713109625389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46.088316293719117</v>
          </cell>
          <cell r="AQ27">
            <v>21.354099588368882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BA27">
            <v>1436.3551833029642</v>
          </cell>
          <cell r="CC27">
            <v>520.41206843217128</v>
          </cell>
        </row>
        <row r="28">
          <cell r="A28">
            <v>10</v>
          </cell>
          <cell r="B28">
            <v>44</v>
          </cell>
          <cell r="C28">
            <v>97</v>
          </cell>
          <cell r="D28">
            <v>0</v>
          </cell>
          <cell r="E28">
            <v>0</v>
          </cell>
          <cell r="F28">
            <v>8.3990444508662865</v>
          </cell>
          <cell r="G28">
            <v>2108.2565897890181</v>
          </cell>
          <cell r="H28">
            <v>2108.2565897890181</v>
          </cell>
          <cell r="I28">
            <v>1108.2565897890181</v>
          </cell>
          <cell r="J28">
            <v>0</v>
          </cell>
          <cell r="K28">
            <v>0</v>
          </cell>
          <cell r="L28">
            <v>0</v>
          </cell>
          <cell r="M28">
            <v>20</v>
          </cell>
          <cell r="N28">
            <v>423.70663713694626</v>
          </cell>
          <cell r="Q28">
            <v>439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201.78876090725052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362.89735325712292</v>
          </cell>
          <cell r="AI28">
            <v>178.34590425821307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47.701407363999294</v>
          </cell>
          <cell r="AQ28">
            <v>23.442856649037452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BA28">
            <v>1276.1900780129679</v>
          </cell>
          <cell r="CC28">
            <v>602.05254139515932</v>
          </cell>
        </row>
        <row r="29">
          <cell r="A29">
            <v>11</v>
          </cell>
          <cell r="B29">
            <v>45</v>
          </cell>
          <cell r="C29">
            <v>97</v>
          </cell>
          <cell r="D29">
            <v>0</v>
          </cell>
          <cell r="E29">
            <v>0</v>
          </cell>
          <cell r="F29">
            <v>8.632571575733289</v>
          </cell>
          <cell r="G29">
            <v>2051.0714921216054</v>
          </cell>
          <cell r="H29">
            <v>2051.0714921216054</v>
          </cell>
          <cell r="I29">
            <v>1051.0714921216054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493.17329048149804</v>
          </cell>
          <cell r="Q29">
            <v>493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239.84660935911768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410.59876062112221</v>
          </cell>
          <cell r="AI29">
            <v>214.10261773827798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49.370956621739253</v>
          </cell>
          <cell r="AQ29">
            <v>25.743991620839694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BA29">
            <v>1082.7206447572571</v>
          </cell>
          <cell r="CC29">
            <v>707.27590821977606</v>
          </cell>
        </row>
        <row r="30">
          <cell r="A30">
            <v>12</v>
          </cell>
          <cell r="B30">
            <v>46</v>
          </cell>
          <cell r="C30">
            <v>97</v>
          </cell>
          <cell r="D30">
            <v>0</v>
          </cell>
          <cell r="E30">
            <v>0</v>
          </cell>
          <cell r="F30">
            <v>8.8814647854165401</v>
          </cell>
          <cell r="G30">
            <v>1989.3115866407998</v>
          </cell>
          <cell r="H30">
            <v>1989.3115866407998</v>
          </cell>
          <cell r="I30">
            <v>989.31158664079976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551.54323545151362</v>
          </cell>
          <cell r="Q30">
            <v>567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282.85605909491727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459.96971724286146</v>
          </cell>
          <cell r="AI30">
            <v>254.5748397052341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51.098940103500126</v>
          </cell>
          <cell r="AQ30">
            <v>28.281219389683173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BA30">
            <v>893.37251943053639</v>
          </cell>
          <cell r="CC30">
            <v>806.11807515674775</v>
          </cell>
        </row>
        <row r="31">
          <cell r="A31">
            <v>13</v>
          </cell>
          <cell r="B31">
            <v>47</v>
          </cell>
          <cell r="C31">
            <v>97</v>
          </cell>
          <cell r="D31">
            <v>0</v>
          </cell>
          <cell r="E31">
            <v>0</v>
          </cell>
          <cell r="F31">
            <v>9.1467351682969475</v>
          </cell>
          <cell r="G31">
            <v>1922.6108887215296</v>
          </cell>
          <cell r="H31">
            <v>1922.6108887215296</v>
          </cell>
          <cell r="I31">
            <v>922.61088872152959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630.16500327003359</v>
          </cell>
          <cell r="Q31">
            <v>630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331.43133710913912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511.06865734636159</v>
          </cell>
          <cell r="AI31">
            <v>300.34993923588326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52.8874030071226</v>
          </cell>
          <cell r="AQ31">
            <v>31.081397873255867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BA31">
            <v>667.70375937005065</v>
          </cell>
          <cell r="CC31">
            <v>930.51494250591691</v>
          </cell>
        </row>
        <row r="32">
          <cell r="A32">
            <v>14</v>
          </cell>
          <cell r="B32">
            <v>48</v>
          </cell>
          <cell r="C32">
            <v>97</v>
          </cell>
          <cell r="D32">
            <v>0</v>
          </cell>
          <cell r="E32">
            <v>0</v>
          </cell>
          <cell r="F32">
            <v>9.429460342370886</v>
          </cell>
          <cell r="G32">
            <v>1850.5741349687178</v>
          </cell>
          <cell r="H32">
            <v>1850.5741349687178</v>
          </cell>
          <cell r="I32">
            <v>850.57413496871777</v>
          </cell>
          <cell r="J32">
            <v>0</v>
          </cell>
          <cell r="K32">
            <v>0</v>
          </cell>
          <cell r="L32">
            <v>0</v>
          </cell>
          <cell r="M32">
            <v>20</v>
          </cell>
          <cell r="N32">
            <v>698.71000032980578</v>
          </cell>
          <cell r="Q32">
            <v>714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386.28192510155725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563.95606035348419</v>
          </cell>
          <cell r="AI32">
            <v>352.10596628169782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54.738462112371963</v>
          </cell>
          <cell r="AQ32">
            <v>34.175958819859432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BA32">
            <v>442.76946564455557</v>
          </cell>
          <cell r="CC32">
            <v>1050.8159666115037</v>
          </cell>
        </row>
        <row r="33">
          <cell r="A33">
            <v>15</v>
          </cell>
          <cell r="B33">
            <v>49</v>
          </cell>
          <cell r="C33">
            <v>97</v>
          </cell>
          <cell r="D33">
            <v>0</v>
          </cell>
          <cell r="E33">
            <v>0</v>
          </cell>
          <cell r="F33">
            <v>9.7307888328988916</v>
          </cell>
          <cell r="G33">
            <v>1772.774440915681</v>
          </cell>
          <cell r="H33">
            <v>1772.774440915681</v>
          </cell>
          <cell r="I33">
            <v>772.774440915681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788.59186062943388</v>
          </cell>
          <cell r="Q33">
            <v>788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448.18849804036421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618.69452246585615</v>
          </cell>
          <cell r="AI33">
            <v>410.59043288924079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56.654308286304968</v>
          </cell>
          <cell r="AQ33">
            <v>37.598065151123421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BA33">
            <v>177.79186467493696</v>
          </cell>
          <cell r="CC33">
            <v>1199.1822935186747</v>
          </cell>
        </row>
        <row r="34">
          <cell r="A34">
            <v>16</v>
          </cell>
          <cell r="B34">
            <v>50</v>
          </cell>
          <cell r="C34">
            <v>97</v>
          </cell>
          <cell r="D34">
            <v>0</v>
          </cell>
          <cell r="E34">
            <v>0</v>
          </cell>
          <cell r="F34">
            <v>10.051944738103639</v>
          </cell>
          <cell r="G34">
            <v>1688.7507713384011</v>
          </cell>
          <cell r="H34">
            <v>1688.7507713384011</v>
          </cell>
          <cell r="I34">
            <v>688.75077133840114</v>
          </cell>
          <cell r="J34">
            <v>0</v>
          </cell>
          <cell r="K34">
            <v>0</v>
          </cell>
          <cell r="L34">
            <v>0</v>
          </cell>
          <cell r="M34">
            <v>20</v>
          </cell>
          <cell r="N34">
            <v>869.64221042557438</v>
          </cell>
          <cell r="Q34">
            <v>885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518.06936649214083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675.34883075216112</v>
          </cell>
          <cell r="AI34">
            <v>476.68146520979786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58.637209076325689</v>
          </cell>
          <cell r="AQ34">
            <v>41.387901282342966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BA34">
            <v>0</v>
          </cell>
          <cell r="CC34">
            <v>1346.3236756353722</v>
          </cell>
        </row>
        <row r="35">
          <cell r="A35">
            <v>17</v>
          </cell>
          <cell r="B35">
            <v>51</v>
          </cell>
          <cell r="C35">
            <v>97</v>
          </cell>
          <cell r="D35">
            <v>0</v>
          </cell>
          <cell r="E35">
            <v>0</v>
          </cell>
          <cell r="F35">
            <v>10.394232701870857</v>
          </cell>
          <cell r="G35">
            <v>1598.0052081949391</v>
          </cell>
          <cell r="H35">
            <v>1598.0052081949391</v>
          </cell>
          <cell r="I35">
            <v>598.00520819493909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973.45928108828832</v>
          </cell>
          <cell r="Q35">
            <v>973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596.93643381179322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733.98603982848681</v>
          </cell>
          <cell r="AI35">
            <v>551.34829353796442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60.689511393997009</v>
          </cell>
          <cell r="AQ35">
            <v>45.588140273828799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BA35">
            <v>0</v>
          </cell>
          <cell r="CC35">
            <v>1524.8075746262527</v>
          </cell>
        </row>
        <row r="36">
          <cell r="A36">
            <v>18</v>
          </cell>
          <cell r="B36">
            <v>52</v>
          </cell>
          <cell r="C36">
            <v>97</v>
          </cell>
          <cell r="D36">
            <v>0</v>
          </cell>
          <cell r="E36">
            <v>0</v>
          </cell>
          <cell r="F36">
            <v>10.75904321365396</v>
          </cell>
          <cell r="G36">
            <v>1500</v>
          </cell>
          <cell r="H36">
            <v>1500</v>
          </cell>
          <cell r="I36">
            <v>500</v>
          </cell>
          <cell r="J36">
            <v>0</v>
          </cell>
          <cell r="K36">
            <v>0</v>
          </cell>
          <cell r="L36">
            <v>0</v>
          </cell>
          <cell r="M36">
            <v>300</v>
          </cell>
          <cell r="N36">
            <v>846.15202732610089</v>
          </cell>
          <cell r="Q36">
            <v>1086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857.48919551527081</v>
          </cell>
          <cell r="AA36">
            <v>857.48919551527081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794.67555122248382</v>
          </cell>
          <cell r="AI36">
            <v>794.67555122248382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62.813644292786989</v>
          </cell>
          <cell r="AQ36">
            <v>62.813644292786989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350</v>
          </cell>
          <cell r="AX36">
            <v>350</v>
          </cell>
          <cell r="BA36">
            <v>0</v>
          </cell>
          <cell r="CC36">
            <v>1990.8275785485848</v>
          </cell>
        </row>
        <row r="37">
          <cell r="A37">
            <v>19</v>
          </cell>
          <cell r="B37">
            <v>53</v>
          </cell>
          <cell r="C37">
            <v>0</v>
          </cell>
          <cell r="D37">
            <v>0</v>
          </cell>
          <cell r="E37">
            <v>0</v>
          </cell>
          <cell r="F37">
            <v>6.2978582571123898</v>
          </cell>
          <cell r="G37">
            <v>1500</v>
          </cell>
          <cell r="H37">
            <v>1500</v>
          </cell>
          <cell r="I37">
            <v>500</v>
          </cell>
          <cell r="J37">
            <v>0</v>
          </cell>
          <cell r="K37">
            <v>0</v>
          </cell>
          <cell r="L37">
            <v>0</v>
          </cell>
          <cell r="M37">
            <v>300</v>
          </cell>
          <cell r="N37">
            <v>659.20112751956026</v>
          </cell>
          <cell r="Q37">
            <v>899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BA37">
            <v>141.8035752425626</v>
          </cell>
          <cell r="CC37">
            <v>659.20112751956026</v>
          </cell>
        </row>
        <row r="38">
          <cell r="A38">
            <v>20</v>
          </cell>
          <cell r="B38">
            <v>54</v>
          </cell>
          <cell r="C38">
            <v>0</v>
          </cell>
          <cell r="D38">
            <v>0</v>
          </cell>
          <cell r="E38">
            <v>0</v>
          </cell>
          <cell r="F38">
            <v>6.7122573304303863</v>
          </cell>
          <cell r="G38">
            <v>1500</v>
          </cell>
          <cell r="H38">
            <v>1500</v>
          </cell>
          <cell r="I38">
            <v>500</v>
          </cell>
          <cell r="J38">
            <v>0</v>
          </cell>
          <cell r="K38">
            <v>0</v>
          </cell>
          <cell r="L38">
            <v>0</v>
          </cell>
          <cell r="M38">
            <v>300</v>
          </cell>
          <cell r="N38">
            <v>457.03534642501819</v>
          </cell>
          <cell r="Q38">
            <v>697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BA38">
            <v>575.44204049143673</v>
          </cell>
          <cell r="CC38">
            <v>457.03534642501819</v>
          </cell>
        </row>
        <row r="39">
          <cell r="A39">
            <v>21</v>
          </cell>
          <cell r="B39">
            <v>55</v>
          </cell>
          <cell r="C39">
            <v>0</v>
          </cell>
          <cell r="D39">
            <v>0</v>
          </cell>
          <cell r="E39">
            <v>0</v>
          </cell>
          <cell r="F39">
            <v>7.1539238627727046</v>
          </cell>
          <cell r="G39">
            <v>1500</v>
          </cell>
          <cell r="H39">
            <v>1500</v>
          </cell>
          <cell r="I39">
            <v>500</v>
          </cell>
          <cell r="J39">
            <v>0</v>
          </cell>
          <cell r="K39">
            <v>0</v>
          </cell>
          <cell r="L39">
            <v>0</v>
          </cell>
          <cell r="M39">
            <v>300</v>
          </cell>
          <cell r="N39">
            <v>237.94046714866172</v>
          </cell>
          <cell r="Q39">
            <v>477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BA39">
            <v>1027.5265188141011</v>
          </cell>
          <cell r="CC39">
            <v>237.94046714866172</v>
          </cell>
        </row>
        <row r="40">
          <cell r="A40">
            <v>22</v>
          </cell>
          <cell r="B40">
            <v>56</v>
          </cell>
          <cell r="C40">
            <v>0</v>
          </cell>
          <cell r="D40">
            <v>0</v>
          </cell>
          <cell r="E40">
            <v>0</v>
          </cell>
          <cell r="F40">
            <v>7.6246520529431487</v>
          </cell>
          <cell r="G40">
            <v>1500</v>
          </cell>
          <cell r="H40">
            <v>1500</v>
          </cell>
          <cell r="I40">
            <v>500</v>
          </cell>
          <cell r="J40">
            <v>0</v>
          </cell>
          <cell r="K40">
            <v>0</v>
          </cell>
          <cell r="L40">
            <v>300</v>
          </cell>
          <cell r="M40">
            <v>0</v>
          </cell>
          <cell r="N40">
            <v>300</v>
          </cell>
          <cell r="Q40">
            <v>300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BA40">
            <v>1500</v>
          </cell>
          <cell r="CC40">
            <v>300</v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Q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BA41" t="str">
            <v/>
          </cell>
          <cell r="CC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Q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BA42" t="str">
            <v/>
          </cell>
          <cell r="CC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Q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BA43" t="str">
            <v/>
          </cell>
          <cell r="CC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Q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BA44" t="str">
            <v/>
          </cell>
          <cell r="CC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Q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BA45" t="str">
            <v/>
          </cell>
          <cell r="CC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Q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BA46" t="str">
            <v/>
          </cell>
          <cell r="CC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Q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BA47" t="str">
            <v/>
          </cell>
          <cell r="CC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Q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BA48" t="str">
            <v/>
          </cell>
          <cell r="CC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Q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BA49" t="str">
            <v/>
          </cell>
          <cell r="CC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Q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BA50" t="str">
            <v/>
          </cell>
          <cell r="CC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Q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BA51" t="str">
            <v/>
          </cell>
          <cell r="CC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Q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BA52" t="str">
            <v/>
          </cell>
          <cell r="CC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Q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BA53" t="str">
            <v/>
          </cell>
          <cell r="CC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Q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BA54" t="str">
            <v/>
          </cell>
          <cell r="CC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Q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BA55" t="str">
            <v/>
          </cell>
          <cell r="CC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Q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BA56" t="str">
            <v/>
          </cell>
          <cell r="CC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Q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  <cell r="AX57" t="str">
            <v/>
          </cell>
          <cell r="BA57" t="str">
            <v/>
          </cell>
          <cell r="CC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Q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  <cell r="AX58" t="str">
            <v/>
          </cell>
          <cell r="BA58" t="str">
            <v/>
          </cell>
          <cell r="CC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Q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  <cell r="AX59" t="str">
            <v/>
          </cell>
          <cell r="BA59" t="str">
            <v/>
          </cell>
          <cell r="CC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Q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  <cell r="AX60" t="str">
            <v/>
          </cell>
          <cell r="BA60" t="str">
            <v/>
          </cell>
          <cell r="CC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Q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  <cell r="AX61" t="str">
            <v/>
          </cell>
          <cell r="BA61" t="str">
            <v/>
          </cell>
          <cell r="CC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Q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  <cell r="AX62" t="str">
            <v/>
          </cell>
          <cell r="BA62" t="str">
            <v/>
          </cell>
          <cell r="CC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Q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  <cell r="AX63" t="str">
            <v/>
          </cell>
          <cell r="BA63" t="str">
            <v/>
          </cell>
          <cell r="CC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Q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  <cell r="AX64" t="str">
            <v/>
          </cell>
          <cell r="BA64" t="str">
            <v/>
          </cell>
          <cell r="CC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Q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  <cell r="AX65" t="str">
            <v/>
          </cell>
          <cell r="BA65" t="str">
            <v/>
          </cell>
          <cell r="CC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Q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  <cell r="AX66" t="str">
            <v/>
          </cell>
          <cell r="BA66" t="str">
            <v/>
          </cell>
          <cell r="CC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Q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  <cell r="AX67" t="str">
            <v/>
          </cell>
          <cell r="BA67" t="str">
            <v/>
          </cell>
          <cell r="CC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Q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  <cell r="AX68" t="str">
            <v/>
          </cell>
          <cell r="BA68" t="str">
            <v/>
          </cell>
          <cell r="CC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Q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  <cell r="AX69" t="str">
            <v/>
          </cell>
          <cell r="BA69" t="str">
            <v/>
          </cell>
          <cell r="CC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Q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  <cell r="AX70" t="str">
            <v/>
          </cell>
          <cell r="BA70" t="str">
            <v/>
          </cell>
          <cell r="CC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Q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  <cell r="AX71" t="str">
            <v/>
          </cell>
          <cell r="BA71" t="str">
            <v/>
          </cell>
          <cell r="CC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Q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  <cell r="AX72" t="str">
            <v/>
          </cell>
          <cell r="BA72" t="str">
            <v/>
          </cell>
          <cell r="CC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Q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  <cell r="AX73" t="str">
            <v/>
          </cell>
          <cell r="BA73" t="str">
            <v/>
          </cell>
          <cell r="CC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Q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  <cell r="AX74" t="str">
            <v/>
          </cell>
          <cell r="BA74" t="str">
            <v/>
          </cell>
          <cell r="CC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Q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  <cell r="AX75" t="str">
            <v/>
          </cell>
          <cell r="BA75" t="str">
            <v/>
          </cell>
          <cell r="CC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Q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  <cell r="AX76" t="str">
            <v/>
          </cell>
          <cell r="BA76" t="str">
            <v/>
          </cell>
          <cell r="CC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Q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  <cell r="AX77" t="str">
            <v/>
          </cell>
          <cell r="BA77" t="str">
            <v/>
          </cell>
          <cell r="CC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Q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  <cell r="AX78" t="str">
            <v/>
          </cell>
          <cell r="BA78" t="str">
            <v/>
          </cell>
          <cell r="CC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Q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  <cell r="AX79" t="str">
            <v/>
          </cell>
          <cell r="BA79" t="str">
            <v/>
          </cell>
          <cell r="CC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Q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  <cell r="AX80" t="str">
            <v/>
          </cell>
          <cell r="BA80" t="str">
            <v/>
          </cell>
          <cell r="CC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Q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  <cell r="AX81" t="str">
            <v/>
          </cell>
          <cell r="BA81" t="str">
            <v/>
          </cell>
          <cell r="CC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Q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  <cell r="AX82" t="str">
            <v/>
          </cell>
          <cell r="BA82" t="str">
            <v/>
          </cell>
          <cell r="CC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Q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  <cell r="AX83" t="str">
            <v/>
          </cell>
          <cell r="BA83" t="str">
            <v/>
          </cell>
          <cell r="CC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Q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  <cell r="AX84" t="str">
            <v/>
          </cell>
          <cell r="BA84" t="str">
            <v/>
          </cell>
          <cell r="CC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Q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  <cell r="AX85" t="str">
            <v/>
          </cell>
          <cell r="BA85" t="str">
            <v/>
          </cell>
          <cell r="CC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Q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  <cell r="AX86" t="str">
            <v/>
          </cell>
          <cell r="BA86" t="str">
            <v/>
          </cell>
          <cell r="CC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Q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  <cell r="AX87" t="str">
            <v/>
          </cell>
          <cell r="BA87" t="str">
            <v/>
          </cell>
          <cell r="CC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Q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  <cell r="AX88" t="str">
            <v/>
          </cell>
          <cell r="BA88" t="str">
            <v/>
          </cell>
          <cell r="CC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Q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  <cell r="AX89" t="str">
            <v/>
          </cell>
          <cell r="BA89" t="str">
            <v/>
          </cell>
          <cell r="CC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Q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  <cell r="AX90" t="str">
            <v/>
          </cell>
          <cell r="BA90" t="str">
            <v/>
          </cell>
          <cell r="CC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Q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  <cell r="AX91" t="str">
            <v/>
          </cell>
          <cell r="BA91" t="str">
            <v/>
          </cell>
          <cell r="CC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Q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  <cell r="AX92" t="str">
            <v/>
          </cell>
          <cell r="BA92" t="str">
            <v/>
          </cell>
          <cell r="CC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Q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  <cell r="AX93" t="str">
            <v/>
          </cell>
          <cell r="BA93" t="str">
            <v/>
          </cell>
          <cell r="CC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Q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  <cell r="AX94" t="str">
            <v/>
          </cell>
          <cell r="BA94" t="str">
            <v/>
          </cell>
          <cell r="CC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Q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  <cell r="AX95" t="str">
            <v/>
          </cell>
          <cell r="BA95" t="str">
            <v/>
          </cell>
          <cell r="CC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Q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  <cell r="AX96" t="str">
            <v/>
          </cell>
          <cell r="BA96" t="str">
            <v/>
          </cell>
          <cell r="CC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Q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  <cell r="AX97" t="str">
            <v/>
          </cell>
          <cell r="BA97" t="str">
            <v/>
          </cell>
          <cell r="CC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Q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  <cell r="AX98" t="str">
            <v/>
          </cell>
          <cell r="BA98" t="str">
            <v/>
          </cell>
          <cell r="CC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Q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  <cell r="AX99" t="str">
            <v/>
          </cell>
          <cell r="BA99" t="str">
            <v/>
          </cell>
          <cell r="CC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Q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K100" t="str">
            <v/>
          </cell>
          <cell r="AL100" t="str">
            <v/>
          </cell>
          <cell r="AM100" t="str">
            <v/>
          </cell>
          <cell r="AN100" t="str">
            <v/>
          </cell>
          <cell r="AO100" t="str">
            <v/>
          </cell>
          <cell r="AP100" t="str">
            <v/>
          </cell>
          <cell r="AQ100" t="str">
            <v/>
          </cell>
          <cell r="AR100" t="str">
            <v/>
          </cell>
          <cell r="AS100" t="str">
            <v/>
          </cell>
          <cell r="AT100" t="str">
            <v/>
          </cell>
          <cell r="AU100" t="str">
            <v/>
          </cell>
          <cell r="AV100" t="str">
            <v/>
          </cell>
          <cell r="AW100" t="str">
            <v/>
          </cell>
          <cell r="AX100" t="str">
            <v/>
          </cell>
          <cell r="BA100" t="str">
            <v/>
          </cell>
          <cell r="CC100" t="str">
            <v/>
          </cell>
        </row>
        <row r="101">
          <cell r="A101" t="str">
            <v/>
          </cell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Q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AH101" t="str">
            <v/>
          </cell>
          <cell r="AI101" t="str">
            <v/>
          </cell>
          <cell r="AK101" t="str">
            <v/>
          </cell>
          <cell r="AL101" t="str">
            <v/>
          </cell>
          <cell r="AM101" t="str">
            <v/>
          </cell>
          <cell r="AN101" t="str">
            <v/>
          </cell>
          <cell r="AO101" t="str">
            <v/>
          </cell>
          <cell r="AP101" t="str">
            <v/>
          </cell>
          <cell r="AQ101" t="str">
            <v/>
          </cell>
          <cell r="AR101" t="str">
            <v/>
          </cell>
          <cell r="AS101" t="str">
            <v/>
          </cell>
          <cell r="AT101" t="str">
            <v/>
          </cell>
          <cell r="AU101" t="str">
            <v/>
          </cell>
          <cell r="AV101" t="str">
            <v/>
          </cell>
          <cell r="AW101" t="str">
            <v/>
          </cell>
          <cell r="AX101" t="str">
            <v/>
          </cell>
          <cell r="BA101" t="str">
            <v/>
          </cell>
          <cell r="CC101" t="str">
            <v/>
          </cell>
        </row>
        <row r="102">
          <cell r="A102" t="str">
            <v/>
          </cell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Q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AH102" t="str">
            <v/>
          </cell>
          <cell r="AI102" t="str">
            <v/>
          </cell>
          <cell r="AK102" t="str">
            <v/>
          </cell>
          <cell r="AL102" t="str">
            <v/>
          </cell>
          <cell r="AM102" t="str">
            <v/>
          </cell>
          <cell r="AN102" t="str">
            <v/>
          </cell>
          <cell r="AO102" t="str">
            <v/>
          </cell>
          <cell r="AP102" t="str">
            <v/>
          </cell>
          <cell r="AQ102" t="str">
            <v/>
          </cell>
          <cell r="AR102" t="str">
            <v/>
          </cell>
          <cell r="AS102" t="str">
            <v/>
          </cell>
          <cell r="AT102" t="str">
            <v/>
          </cell>
          <cell r="AU102" t="str">
            <v/>
          </cell>
          <cell r="AV102" t="str">
            <v/>
          </cell>
          <cell r="AW102" t="str">
            <v/>
          </cell>
          <cell r="AX102" t="str">
            <v/>
          </cell>
          <cell r="BA102" t="str">
            <v/>
          </cell>
          <cell r="CC102" t="str">
            <v/>
          </cell>
        </row>
        <row r="103">
          <cell r="A103" t="str">
            <v/>
          </cell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Q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K103" t="str">
            <v/>
          </cell>
          <cell r="AL103" t="str">
            <v/>
          </cell>
          <cell r="AM103" t="str">
            <v/>
          </cell>
          <cell r="AN103" t="str">
            <v/>
          </cell>
          <cell r="AO103" t="str">
            <v/>
          </cell>
          <cell r="AP103" t="str">
            <v/>
          </cell>
          <cell r="AQ103" t="str">
            <v/>
          </cell>
          <cell r="AR103" t="str">
            <v/>
          </cell>
          <cell r="AS103" t="str">
            <v/>
          </cell>
          <cell r="AT103" t="str">
            <v/>
          </cell>
          <cell r="AU103" t="str">
            <v/>
          </cell>
          <cell r="AV103" t="str">
            <v/>
          </cell>
          <cell r="AW103" t="str">
            <v/>
          </cell>
          <cell r="AX103" t="str">
            <v/>
          </cell>
          <cell r="BA103" t="str">
            <v/>
          </cell>
          <cell r="CC103" t="str">
            <v/>
          </cell>
        </row>
        <row r="104">
          <cell r="A104" t="str">
            <v/>
          </cell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Q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K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R104" t="str">
            <v/>
          </cell>
          <cell r="AS104" t="str">
            <v/>
          </cell>
          <cell r="AT104" t="str">
            <v/>
          </cell>
          <cell r="AU104" t="str">
            <v/>
          </cell>
          <cell r="AV104" t="str">
            <v/>
          </cell>
          <cell r="AW104" t="str">
            <v/>
          </cell>
          <cell r="AX104" t="str">
            <v/>
          </cell>
          <cell r="BA104" t="str">
            <v/>
          </cell>
          <cell r="CC104" t="str">
            <v/>
          </cell>
        </row>
        <row r="105">
          <cell r="A105" t="str">
            <v/>
          </cell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Q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  <cell r="AA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K105" t="str">
            <v/>
          </cell>
          <cell r="AL105" t="str">
            <v/>
          </cell>
          <cell r="AM105" t="str">
            <v/>
          </cell>
          <cell r="AN105" t="str">
            <v/>
          </cell>
          <cell r="AO105" t="str">
            <v/>
          </cell>
          <cell r="AP105" t="str">
            <v/>
          </cell>
          <cell r="AQ105" t="str">
            <v/>
          </cell>
          <cell r="AR105" t="str">
            <v/>
          </cell>
          <cell r="AS105" t="str">
            <v/>
          </cell>
          <cell r="AT105" t="str">
            <v/>
          </cell>
          <cell r="AU105" t="str">
            <v/>
          </cell>
          <cell r="AV105" t="str">
            <v/>
          </cell>
          <cell r="AW105" t="str">
            <v/>
          </cell>
          <cell r="AX105" t="str">
            <v/>
          </cell>
          <cell r="BA105" t="str">
            <v/>
          </cell>
          <cell r="CC105" t="str">
            <v/>
          </cell>
        </row>
        <row r="106">
          <cell r="A106" t="str">
            <v/>
          </cell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Q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 t="str">
            <v/>
          </cell>
          <cell r="AH106" t="str">
            <v/>
          </cell>
          <cell r="AI106" t="str">
            <v/>
          </cell>
          <cell r="AK106" t="str">
            <v/>
          </cell>
          <cell r="AL106" t="str">
            <v/>
          </cell>
          <cell r="AM106" t="str">
            <v/>
          </cell>
          <cell r="AN106" t="str">
            <v/>
          </cell>
          <cell r="AO106" t="str">
            <v/>
          </cell>
          <cell r="AP106" t="str">
            <v/>
          </cell>
          <cell r="AQ106" t="str">
            <v/>
          </cell>
          <cell r="AR106" t="str">
            <v/>
          </cell>
          <cell r="AS106" t="str">
            <v/>
          </cell>
          <cell r="AT106" t="str">
            <v/>
          </cell>
          <cell r="AU106" t="str">
            <v/>
          </cell>
          <cell r="AV106" t="str">
            <v/>
          </cell>
          <cell r="AW106" t="str">
            <v/>
          </cell>
          <cell r="AX106" t="str">
            <v/>
          </cell>
          <cell r="BA106" t="str">
            <v/>
          </cell>
          <cell r="CC106" t="str">
            <v/>
          </cell>
        </row>
        <row r="107">
          <cell r="A107" t="str">
            <v/>
          </cell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Q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K107" t="str">
            <v/>
          </cell>
          <cell r="AL107" t="str">
            <v/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 t="str">
            <v/>
          </cell>
          <cell r="AU107" t="str">
            <v/>
          </cell>
          <cell r="AV107" t="str">
            <v/>
          </cell>
          <cell r="AW107" t="str">
            <v/>
          </cell>
          <cell r="AX107" t="str">
            <v/>
          </cell>
          <cell r="BA107" t="str">
            <v/>
          </cell>
          <cell r="CC107" t="str">
            <v/>
          </cell>
        </row>
        <row r="108">
          <cell r="A108" t="str">
            <v/>
          </cell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Q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  <cell r="AA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  <cell r="AG108" t="str">
            <v/>
          </cell>
          <cell r="AH108" t="str">
            <v/>
          </cell>
          <cell r="AI108" t="str">
            <v/>
          </cell>
          <cell r="AK108" t="str">
            <v/>
          </cell>
          <cell r="AL108" t="str">
            <v/>
          </cell>
          <cell r="AM108" t="str">
            <v/>
          </cell>
          <cell r="AN108" t="str">
            <v/>
          </cell>
          <cell r="AO108" t="str">
            <v/>
          </cell>
          <cell r="AP108" t="str">
            <v/>
          </cell>
          <cell r="AQ108" t="str">
            <v/>
          </cell>
          <cell r="AR108" t="str">
            <v/>
          </cell>
          <cell r="AS108" t="str">
            <v/>
          </cell>
          <cell r="AT108" t="str">
            <v/>
          </cell>
          <cell r="AU108" t="str">
            <v/>
          </cell>
          <cell r="AV108" t="str">
            <v/>
          </cell>
          <cell r="AW108" t="str">
            <v/>
          </cell>
          <cell r="AX108" t="str">
            <v/>
          </cell>
          <cell r="BA108" t="str">
            <v/>
          </cell>
          <cell r="CC108" t="str">
            <v/>
          </cell>
        </row>
        <row r="109">
          <cell r="A109" t="str">
            <v/>
          </cell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Q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  <cell r="AA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AH109" t="str">
            <v/>
          </cell>
          <cell r="AI109" t="str">
            <v/>
          </cell>
          <cell r="AK109" t="str">
            <v/>
          </cell>
          <cell r="AL109" t="str">
            <v/>
          </cell>
          <cell r="AM109" t="str">
            <v/>
          </cell>
          <cell r="AN109" t="str">
            <v/>
          </cell>
          <cell r="AO109" t="str">
            <v/>
          </cell>
          <cell r="AP109" t="str">
            <v/>
          </cell>
          <cell r="AQ109" t="str">
            <v/>
          </cell>
          <cell r="AR109" t="str">
            <v/>
          </cell>
          <cell r="AS109" t="str">
            <v/>
          </cell>
          <cell r="AT109" t="str">
            <v/>
          </cell>
          <cell r="AU109" t="str">
            <v/>
          </cell>
          <cell r="AV109" t="str">
            <v/>
          </cell>
          <cell r="AW109" t="str">
            <v/>
          </cell>
          <cell r="AX109" t="str">
            <v/>
          </cell>
          <cell r="BA109" t="str">
            <v/>
          </cell>
          <cell r="CC109" t="str">
            <v/>
          </cell>
        </row>
        <row r="110">
          <cell r="A110" t="str">
            <v/>
          </cell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Q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BA110" t="str">
            <v/>
          </cell>
          <cell r="CC110" t="str">
            <v/>
          </cell>
        </row>
        <row r="111">
          <cell r="A111" t="str">
            <v/>
          </cell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Q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BA111" t="str">
            <v/>
          </cell>
          <cell r="CC111" t="str">
            <v/>
          </cell>
        </row>
        <row r="112">
          <cell r="A112" t="str">
            <v/>
          </cell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Q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BA112" t="str">
            <v/>
          </cell>
          <cell r="CC112" t="str">
            <v/>
          </cell>
        </row>
        <row r="113">
          <cell r="A113" t="str">
            <v/>
          </cell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Q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G113" t="str">
            <v/>
          </cell>
          <cell r="AH113" t="str">
            <v/>
          </cell>
          <cell r="AI113" t="str">
            <v/>
          </cell>
          <cell r="AK113" t="str">
            <v/>
          </cell>
          <cell r="AL113" t="str">
            <v/>
          </cell>
          <cell r="AM113" t="str">
            <v/>
          </cell>
          <cell r="AN113" t="str">
            <v/>
          </cell>
          <cell r="AO113" t="str">
            <v/>
          </cell>
          <cell r="AP113" t="str">
            <v/>
          </cell>
          <cell r="AQ113" t="str">
            <v/>
          </cell>
          <cell r="AR113" t="str">
            <v/>
          </cell>
          <cell r="AS113" t="str">
            <v/>
          </cell>
          <cell r="AT113" t="str">
            <v/>
          </cell>
          <cell r="AU113" t="str">
            <v/>
          </cell>
          <cell r="AV113" t="str">
            <v/>
          </cell>
          <cell r="AW113" t="str">
            <v/>
          </cell>
          <cell r="AX113" t="str">
            <v/>
          </cell>
          <cell r="BA113" t="str">
            <v/>
          </cell>
          <cell r="CC113" t="str">
            <v/>
          </cell>
        </row>
        <row r="114">
          <cell r="A114" t="str">
            <v/>
          </cell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Q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K114" t="str">
            <v/>
          </cell>
          <cell r="AL114" t="str">
            <v/>
          </cell>
          <cell r="AM114" t="str">
            <v/>
          </cell>
          <cell r="AN114" t="str">
            <v/>
          </cell>
          <cell r="AO114" t="str">
            <v/>
          </cell>
          <cell r="AP114" t="str">
            <v/>
          </cell>
          <cell r="AQ114" t="str">
            <v/>
          </cell>
          <cell r="AR114" t="str">
            <v/>
          </cell>
          <cell r="AS114" t="str">
            <v/>
          </cell>
          <cell r="AT114" t="str">
            <v/>
          </cell>
          <cell r="AU114" t="str">
            <v/>
          </cell>
          <cell r="AV114" t="str">
            <v/>
          </cell>
          <cell r="AW114" t="str">
            <v/>
          </cell>
          <cell r="AX114" t="str">
            <v/>
          </cell>
          <cell r="BA114" t="str">
            <v/>
          </cell>
          <cell r="CC114" t="str">
            <v/>
          </cell>
        </row>
        <row r="115">
          <cell r="A115" t="str">
            <v/>
          </cell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Q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K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/>
          </cell>
          <cell r="AQ115" t="str">
            <v/>
          </cell>
          <cell r="AR115" t="str">
            <v/>
          </cell>
          <cell r="AS115" t="str">
            <v/>
          </cell>
          <cell r="AT115" t="str">
            <v/>
          </cell>
          <cell r="AU115" t="str">
            <v/>
          </cell>
          <cell r="AV115" t="str">
            <v/>
          </cell>
          <cell r="AW115" t="str">
            <v/>
          </cell>
          <cell r="AX115" t="str">
            <v/>
          </cell>
          <cell r="BA115" t="str">
            <v/>
          </cell>
          <cell r="CC115" t="str">
            <v/>
          </cell>
        </row>
        <row r="116">
          <cell r="A116" t="str">
            <v/>
          </cell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Q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K116" t="str">
            <v/>
          </cell>
          <cell r="AL116" t="str">
            <v/>
          </cell>
          <cell r="AM116" t="str">
            <v/>
          </cell>
          <cell r="AN116" t="str">
            <v/>
          </cell>
          <cell r="AO116" t="str">
            <v/>
          </cell>
          <cell r="AP116" t="str">
            <v/>
          </cell>
          <cell r="AQ116" t="str">
            <v/>
          </cell>
          <cell r="AR116" t="str">
            <v/>
          </cell>
          <cell r="AS116" t="str">
            <v/>
          </cell>
          <cell r="AT116" t="str">
            <v/>
          </cell>
          <cell r="AU116" t="str">
            <v/>
          </cell>
          <cell r="AV116" t="str">
            <v/>
          </cell>
          <cell r="AW116" t="str">
            <v/>
          </cell>
          <cell r="AX116" t="str">
            <v/>
          </cell>
          <cell r="BA116" t="str">
            <v/>
          </cell>
          <cell r="CC116" t="str">
            <v/>
          </cell>
        </row>
        <row r="117">
          <cell r="A117" t="str">
            <v/>
          </cell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Q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 t="str">
            <v/>
          </cell>
          <cell r="AS117" t="str">
            <v/>
          </cell>
          <cell r="AT117" t="str">
            <v/>
          </cell>
          <cell r="AU117" t="str">
            <v/>
          </cell>
          <cell r="AV117" t="str">
            <v/>
          </cell>
          <cell r="AW117" t="str">
            <v/>
          </cell>
          <cell r="AX117" t="str">
            <v/>
          </cell>
          <cell r="BA117" t="str">
            <v/>
          </cell>
          <cell r="CC117" t="str">
            <v/>
          </cell>
        </row>
        <row r="118">
          <cell r="A118" t="str">
            <v/>
          </cell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Q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  <cell r="AA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BA118" t="str">
            <v/>
          </cell>
          <cell r="CC118" t="str">
            <v/>
          </cell>
        </row>
        <row r="119">
          <cell r="A119" t="str">
            <v/>
          </cell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Q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BA119" t="str">
            <v/>
          </cell>
          <cell r="CC119" t="str">
            <v/>
          </cell>
        </row>
        <row r="120">
          <cell r="A120" t="str">
            <v/>
          </cell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Q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BA120" t="str">
            <v/>
          </cell>
          <cell r="CC120" t="str">
            <v/>
          </cell>
        </row>
      </sheetData>
      <sheetData sheetId="11"/>
      <sheetData sheetId="12">
        <row r="9">
          <cell r="E9">
            <v>63.740043640059774</v>
          </cell>
          <cell r="N9">
            <v>57.400829550080289</v>
          </cell>
        </row>
        <row r="18">
          <cell r="F18"/>
          <cell r="G18"/>
          <cell r="H18"/>
          <cell r="I18">
            <v>0</v>
          </cell>
          <cell r="J18">
            <v>0</v>
          </cell>
          <cell r="K18">
            <v>0</v>
          </cell>
          <cell r="O18">
            <v>0</v>
          </cell>
          <cell r="S18"/>
          <cell r="DW18"/>
          <cell r="DX18">
            <v>1</v>
          </cell>
          <cell r="EI18"/>
          <cell r="EJ18"/>
          <cell r="EK18"/>
          <cell r="EL18"/>
          <cell r="EM18"/>
          <cell r="EN18"/>
          <cell r="EO18">
            <v>1</v>
          </cell>
          <cell r="EZ18"/>
          <cell r="FC18"/>
          <cell r="FD18"/>
          <cell r="FE18">
            <v>1</v>
          </cell>
          <cell r="FJ18">
            <v>2.63E-3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1</v>
          </cell>
          <cell r="FP18">
            <v>4.9825978022205751E-2</v>
          </cell>
          <cell r="FT18">
            <v>0</v>
          </cell>
          <cell r="FV18">
            <v>0</v>
          </cell>
        </row>
        <row r="19">
          <cell r="D19">
            <v>2.2107916666666667</v>
          </cell>
          <cell r="E19">
            <v>4.0416666666666661</v>
          </cell>
          <cell r="F19">
            <v>28.666377080089092</v>
          </cell>
          <cell r="G19">
            <v>28.666377080089092</v>
          </cell>
          <cell r="H19">
            <v>41.831002602986054</v>
          </cell>
          <cell r="I19">
            <v>0</v>
          </cell>
          <cell r="J19">
            <v>0</v>
          </cell>
          <cell r="K19">
            <v>5.7963554248009483</v>
          </cell>
          <cell r="O19">
            <v>22.293099659046561</v>
          </cell>
          <cell r="S19">
            <v>8.9442035515767095</v>
          </cell>
          <cell r="AD19">
            <v>716.47971042463951</v>
          </cell>
          <cell r="DG19">
            <v>588.0094941641114</v>
          </cell>
          <cell r="DR19">
            <v>2.1700000000000001E-3</v>
          </cell>
          <cell r="DS19">
            <v>4.1040000000000006E-4</v>
          </cell>
          <cell r="DT19">
            <v>2.5560000000000003E-4</v>
          </cell>
          <cell r="DU19">
            <v>0</v>
          </cell>
          <cell r="DV19">
            <v>0</v>
          </cell>
          <cell r="DW19"/>
          <cell r="DX19">
            <v>0.99716399999999994</v>
          </cell>
          <cell r="DZ19">
            <v>5.8874905579349844E-2</v>
          </cell>
          <cell r="EA19">
            <v>6.6561610430576467E-3</v>
          </cell>
          <cell r="EB19">
            <v>1.8370901979463162E-2</v>
          </cell>
          <cell r="EC19">
            <v>0</v>
          </cell>
          <cell r="EG19">
            <v>11.711314705713299</v>
          </cell>
          <cell r="EI19">
            <v>7.5600000000000016E-4</v>
          </cell>
          <cell r="EJ19">
            <v>4.1040000000000006E-4</v>
          </cell>
          <cell r="EK19">
            <v>2.5560000000000003E-4</v>
          </cell>
          <cell r="EL19">
            <v>0</v>
          </cell>
          <cell r="EM19">
            <v>0</v>
          </cell>
          <cell r="EN19">
            <v>0.25</v>
          </cell>
          <cell r="EO19">
            <v>0.74857799999999997</v>
          </cell>
          <cell r="EZ19" t="e">
            <v>#NAME?</v>
          </cell>
          <cell r="FC19" t="e">
            <v>#NAME?</v>
          </cell>
          <cell r="FD19" t="e">
            <v>#NAME?</v>
          </cell>
          <cell r="FE19" t="e">
            <v>#NAME?</v>
          </cell>
          <cell r="FJ19">
            <v>2.1700000000000001E-3</v>
          </cell>
          <cell r="FK19">
            <v>4.1040000000000006E-4</v>
          </cell>
          <cell r="FL19">
            <v>2.5560000000000003E-4</v>
          </cell>
          <cell r="FM19">
            <v>0</v>
          </cell>
          <cell r="FN19">
            <v>0</v>
          </cell>
          <cell r="FO19">
            <v>0.99716399999999994</v>
          </cell>
          <cell r="FP19">
            <v>5.1039414372810413E-2</v>
          </cell>
          <cell r="FT19">
            <v>0</v>
          </cell>
          <cell r="FV19">
            <v>0</v>
          </cell>
          <cell r="FX19">
            <v>10.766560326883759</v>
          </cell>
        </row>
        <row r="20">
          <cell r="D20">
            <v>3.4354166666666668</v>
          </cell>
          <cell r="E20">
            <v>4.0416666666666661</v>
          </cell>
          <cell r="F20">
            <v>70.151074542124547</v>
          </cell>
          <cell r="G20">
            <v>84.042970392490346</v>
          </cell>
          <cell r="H20">
            <v>98.421082597618948</v>
          </cell>
          <cell r="I20">
            <v>0</v>
          </cell>
          <cell r="J20">
            <v>7.6487879192773143</v>
          </cell>
          <cell r="K20">
            <v>15.565283415729334</v>
          </cell>
          <cell r="O20">
            <v>57.730169273212027</v>
          </cell>
          <cell r="S20">
            <v>10.952216153247821</v>
          </cell>
          <cell r="AD20">
            <v>748.95123439280587</v>
          </cell>
          <cell r="DG20">
            <v>621.03937190106808</v>
          </cell>
          <cell r="DR20">
            <v>2.32E-3</v>
          </cell>
          <cell r="DS20">
            <v>4.1639999999999998E-4</v>
          </cell>
          <cell r="DT20">
            <v>3.3804000000000001E-4</v>
          </cell>
          <cell r="DU20">
            <v>0</v>
          </cell>
          <cell r="DV20">
            <v>0</v>
          </cell>
          <cell r="DW20"/>
          <cell r="DX20">
            <v>0.99692555999999999</v>
          </cell>
          <cell r="DZ20">
            <v>5.9800252959183869E-2</v>
          </cell>
          <cell r="EA20">
            <v>6.6061917574835221E-3</v>
          </cell>
          <cell r="EB20">
            <v>1.9046706839771714E-2</v>
          </cell>
          <cell r="EC20">
            <v>0</v>
          </cell>
          <cell r="EG20">
            <v>11.30035086546485</v>
          </cell>
          <cell r="EI20">
            <v>9.6444E-4</v>
          </cell>
          <cell r="EJ20">
            <v>4.1639999999999998E-4</v>
          </cell>
          <cell r="EK20">
            <v>3.3804000000000001E-4</v>
          </cell>
          <cell r="EL20">
            <v>0</v>
          </cell>
          <cell r="EM20">
            <v>0</v>
          </cell>
          <cell r="EN20">
            <v>0.15</v>
          </cell>
          <cell r="EO20">
            <v>0.84828112</v>
          </cell>
          <cell r="EZ20" t="e">
            <v>#NAME?</v>
          </cell>
          <cell r="FC20" t="e">
            <v>#NAME?</v>
          </cell>
          <cell r="FD20" t="e">
            <v>#NAME?</v>
          </cell>
          <cell r="FE20" t="e">
            <v>#NAME?</v>
          </cell>
          <cell r="FJ20">
            <v>2.32E-3</v>
          </cell>
          <cell r="FK20">
            <v>4.1639999999999998E-4</v>
          </cell>
          <cell r="FL20">
            <v>3.3804000000000001E-4</v>
          </cell>
          <cell r="FM20">
            <v>0</v>
          </cell>
          <cell r="FN20">
            <v>0</v>
          </cell>
          <cell r="FO20">
            <v>0.99692555999999999</v>
          </cell>
          <cell r="FP20">
            <v>5.219745424828217E-2</v>
          </cell>
          <cell r="FT20">
            <v>0</v>
          </cell>
          <cell r="FV20">
            <v>0</v>
          </cell>
          <cell r="FX20">
            <v>10.430968976147559</v>
          </cell>
        </row>
        <row r="21">
          <cell r="D21">
            <v>3.6374999999999997</v>
          </cell>
          <cell r="E21">
            <v>4.0416666666666661</v>
          </cell>
          <cell r="F21">
            <v>133.46068055306614</v>
          </cell>
          <cell r="G21">
            <v>163.30104996217011</v>
          </cell>
          <cell r="H21">
            <v>179.00903508269462</v>
          </cell>
          <cell r="I21">
            <v>92.089399207208146</v>
          </cell>
          <cell r="J21">
            <v>115.34507395720814</v>
          </cell>
          <cell r="K21">
            <v>125.33901720269624</v>
          </cell>
          <cell r="O21">
            <v>115.11174900901017</v>
          </cell>
          <cell r="S21">
            <v>13.841284408414893</v>
          </cell>
          <cell r="DR21">
            <v>2.49E-3</v>
          </cell>
          <cell r="DS21">
            <v>4.284E-4</v>
          </cell>
          <cell r="DT21">
            <v>4.4351999999999998E-4</v>
          </cell>
          <cell r="DU21">
            <v>0</v>
          </cell>
          <cell r="DV21">
            <v>0</v>
          </cell>
          <cell r="DW21"/>
          <cell r="DX21">
            <v>0.99663807999999998</v>
          </cell>
          <cell r="DZ21">
            <v>6.0623678068834598E-2</v>
          </cell>
          <cell r="EA21">
            <v>6.5433118197457058E-3</v>
          </cell>
          <cell r="EB21">
            <v>1.9659709967574032E-2</v>
          </cell>
          <cell r="EC21">
            <v>0</v>
          </cell>
          <cell r="EG21">
            <v>10.869386386751909</v>
          </cell>
          <cell r="EI21">
            <v>1.20918E-3</v>
          </cell>
          <cell r="EJ21">
            <v>4.284E-4</v>
          </cell>
          <cell r="EK21">
            <v>4.4351999999999998E-4</v>
          </cell>
          <cell r="EL21">
            <v>0</v>
          </cell>
          <cell r="EM21">
            <v>0</v>
          </cell>
          <cell r="EN21">
            <v>0.12</v>
          </cell>
          <cell r="EO21">
            <v>0.87791889999999995</v>
          </cell>
          <cell r="EZ21" t="e">
            <v>#NAME?</v>
          </cell>
          <cell r="FC21" t="e">
            <v>#NAME?</v>
          </cell>
          <cell r="FD21" t="e">
            <v>#NAME?</v>
          </cell>
          <cell r="FE21" t="e">
            <v>#NAME?</v>
          </cell>
          <cell r="FJ21">
            <v>2.49E-3</v>
          </cell>
          <cell r="FK21">
            <v>4.284E-4</v>
          </cell>
          <cell r="FL21">
            <v>4.4351999999999998E-4</v>
          </cell>
          <cell r="FM21">
            <v>0</v>
          </cell>
          <cell r="FN21">
            <v>0</v>
          </cell>
          <cell r="FO21">
            <v>0.99663807999999998</v>
          </cell>
          <cell r="FP21">
            <v>5.3279409888111549E-2</v>
          </cell>
          <cell r="FT21">
            <v>0</v>
          </cell>
          <cell r="FV21">
            <v>0.26561000000000001</v>
          </cell>
          <cell r="FX21">
            <v>10.074956809811507</v>
          </cell>
        </row>
        <row r="22">
          <cell r="D22">
            <v>3.8395833333333336</v>
          </cell>
          <cell r="E22">
            <v>4.0416666666666661</v>
          </cell>
          <cell r="F22">
            <v>179.81135764467388</v>
          </cell>
          <cell r="G22">
            <v>227.90536646312316</v>
          </cell>
          <cell r="H22">
            <v>245.07176209042714</v>
          </cell>
          <cell r="I22">
            <v>124.7540490912088</v>
          </cell>
          <cell r="J22">
            <v>162.3769569137088</v>
          </cell>
          <cell r="K22">
            <v>173.6112689890241</v>
          </cell>
          <cell r="O22">
            <v>155.942561364011</v>
          </cell>
          <cell r="S22">
            <v>16.185504441977812</v>
          </cell>
          <cell r="DR22">
            <v>2.6800000000000001E-3</v>
          </cell>
          <cell r="DS22">
            <v>4.3439999999999999E-4</v>
          </cell>
          <cell r="DT22">
            <v>5.6879999999999995E-4</v>
          </cell>
          <cell r="DU22">
            <v>0</v>
          </cell>
          <cell r="DV22">
            <v>0</v>
          </cell>
          <cell r="DW22"/>
          <cell r="DX22">
            <v>0.9963168</v>
          </cell>
          <cell r="DZ22">
            <v>6.1321970409827474E-2</v>
          </cell>
          <cell r="EA22">
            <v>6.4730054078908266E-3</v>
          </cell>
          <cell r="EB22">
            <v>2.0187569742764432E-2</v>
          </cell>
          <cell r="EC22">
            <v>0</v>
          </cell>
          <cell r="EG22">
            <v>10.417617676080578</v>
          </cell>
          <cell r="EI22">
            <v>1.4740799999999998E-3</v>
          </cell>
          <cell r="EJ22">
            <v>4.3439999999999999E-4</v>
          </cell>
          <cell r="EK22">
            <v>5.6879999999999995E-4</v>
          </cell>
          <cell r="EL22">
            <v>0</v>
          </cell>
          <cell r="EM22">
            <v>0</v>
          </cell>
          <cell r="EN22">
            <v>0.1</v>
          </cell>
          <cell r="EO22">
            <v>0.89752272</v>
          </cell>
          <cell r="EZ22" t="e">
            <v>#NAME?</v>
          </cell>
          <cell r="FC22" t="e">
            <v>#NAME?</v>
          </cell>
          <cell r="FD22" t="e">
            <v>#NAME?</v>
          </cell>
          <cell r="FE22" t="e">
            <v>#NAME?</v>
          </cell>
          <cell r="FJ22">
            <v>2.6800000000000001E-3</v>
          </cell>
          <cell r="FK22">
            <v>4.3439999999999999E-4</v>
          </cell>
          <cell r="FL22">
            <v>5.6879999999999995E-4</v>
          </cell>
          <cell r="FM22">
            <v>0</v>
          </cell>
          <cell r="FN22">
            <v>0</v>
          </cell>
          <cell r="FO22">
            <v>0.9963168</v>
          </cell>
          <cell r="FP22">
            <v>5.4262430916390041E-2</v>
          </cell>
          <cell r="FT22">
            <v>0</v>
          </cell>
          <cell r="FV22">
            <v>0.28095999999999999</v>
          </cell>
          <cell r="FX22">
            <v>9.6974309896419513</v>
          </cell>
        </row>
        <row r="23">
          <cell r="D23">
            <v>3.9406249999999998</v>
          </cell>
          <cell r="E23">
            <v>4.0416666666666661</v>
          </cell>
          <cell r="F23">
            <v>248.20839045976334</v>
          </cell>
          <cell r="G23">
            <v>317.14327315764274</v>
          </cell>
          <cell r="H23">
            <v>335.91087352309324</v>
          </cell>
          <cell r="I23">
            <v>175.22284162293499</v>
          </cell>
          <cell r="J23">
            <v>229.33280302217872</v>
          </cell>
          <cell r="K23">
            <v>241.98703071067459</v>
          </cell>
          <cell r="O23">
            <v>219.02855202866874</v>
          </cell>
          <cell r="S23">
            <v>19.438442630005412</v>
          </cell>
          <cell r="DR23">
            <v>2.8999999999999998E-3</v>
          </cell>
          <cell r="DS23">
            <v>4.4640000000000001E-4</v>
          </cell>
          <cell r="DT23">
            <v>7.2899999999999994E-4</v>
          </cell>
          <cell r="DU23">
            <v>0</v>
          </cell>
          <cell r="DV23">
            <v>0</v>
          </cell>
          <cell r="DW23"/>
          <cell r="DX23">
            <v>0.99592460000000005</v>
          </cell>
          <cell r="DZ23">
            <v>6.1862828642990149E-2</v>
          </cell>
          <cell r="EA23">
            <v>6.3892403994249662E-3</v>
          </cell>
          <cell r="EB23">
            <v>2.0592245004680255E-2</v>
          </cell>
          <cell r="EC23">
            <v>0</v>
          </cell>
          <cell r="EG23">
            <v>9.9439593864489364</v>
          </cell>
          <cell r="EI23">
            <v>1.7560799999999999E-3</v>
          </cell>
          <cell r="EJ23">
            <v>4.4640000000000001E-4</v>
          </cell>
          <cell r="EK23">
            <v>7.2899999999999994E-4</v>
          </cell>
          <cell r="EL23">
            <v>0</v>
          </cell>
          <cell r="EM23">
            <v>0</v>
          </cell>
          <cell r="EN23">
            <v>0.06</v>
          </cell>
          <cell r="EO23">
            <v>0.93706851999999996</v>
          </cell>
          <cell r="EZ23" t="e">
            <v>#NAME?</v>
          </cell>
          <cell r="FC23" t="e">
            <v>#NAME?</v>
          </cell>
          <cell r="FD23" t="e">
            <v>#NAME?</v>
          </cell>
          <cell r="FE23" t="e">
            <v>#NAME?</v>
          </cell>
          <cell r="FJ23">
            <v>2.8999999999999998E-3</v>
          </cell>
          <cell r="FK23">
            <v>4.4640000000000001E-4</v>
          </cell>
          <cell r="FL23">
            <v>7.2899999999999994E-4</v>
          </cell>
          <cell r="FM23">
            <v>0</v>
          </cell>
          <cell r="FN23">
            <v>0</v>
          </cell>
          <cell r="FO23">
            <v>0.99592460000000005</v>
          </cell>
          <cell r="FP23">
            <v>5.5114100932897314E-2</v>
          </cell>
          <cell r="FT23">
            <v>0</v>
          </cell>
          <cell r="FV23">
            <v>0.29716999999999999</v>
          </cell>
          <cell r="FX23">
            <v>9.2970067391904649</v>
          </cell>
        </row>
        <row r="24">
          <cell r="D24">
            <v>4.0416666666666661</v>
          </cell>
          <cell r="E24">
            <v>4.0416666666666661</v>
          </cell>
          <cell r="F24">
            <v>299.88668446779388</v>
          </cell>
          <cell r="G24">
            <v>392.56971762005634</v>
          </cell>
          <cell r="H24">
            <v>413.09728307107707</v>
          </cell>
          <cell r="I24">
            <v>212.72020192904452</v>
          </cell>
          <cell r="J24">
            <v>285.68513011232363</v>
          </cell>
          <cell r="K24">
            <v>299.65170282161358</v>
          </cell>
          <cell r="O24">
            <v>265.90025241130564</v>
          </cell>
          <cell r="S24">
            <v>22.177582133501289</v>
          </cell>
          <cell r="DR24">
            <v>3.15E-3</v>
          </cell>
          <cell r="DS24">
            <v>4.5840000000000003E-4</v>
          </cell>
          <cell r="DT24">
            <v>9.234E-4</v>
          </cell>
          <cell r="DU24">
            <v>0</v>
          </cell>
          <cell r="DV24">
            <v>0</v>
          </cell>
          <cell r="DW24"/>
          <cell r="DX24">
            <v>0.99546820000000003</v>
          </cell>
          <cell r="DZ24">
            <v>6.2211626380858413E-2</v>
          </cell>
          <cell r="EA24">
            <v>6.2915931419959617E-3</v>
          </cell>
          <cell r="EB24">
            <v>2.0834057526823688E-2</v>
          </cell>
          <cell r="EC24">
            <v>0</v>
          </cell>
          <cell r="EG24">
            <v>9.4475478108927931</v>
          </cell>
          <cell r="EI24">
            <v>2.0591999999999997E-3</v>
          </cell>
          <cell r="EJ24">
            <v>4.5840000000000003E-4</v>
          </cell>
          <cell r="EK24">
            <v>9.234E-4</v>
          </cell>
          <cell r="EL24">
            <v>0</v>
          </cell>
          <cell r="EM24">
            <v>0</v>
          </cell>
          <cell r="EN24">
            <v>0.06</v>
          </cell>
          <cell r="EO24">
            <v>0.93655899999999992</v>
          </cell>
          <cell r="EZ24" t="e">
            <v>#NAME?</v>
          </cell>
          <cell r="FC24" t="e">
            <v>#NAME?</v>
          </cell>
          <cell r="FD24" t="e">
            <v>#NAME?</v>
          </cell>
          <cell r="FE24" t="e">
            <v>#NAME?</v>
          </cell>
          <cell r="FJ24">
            <v>3.15E-3</v>
          </cell>
          <cell r="FK24">
            <v>4.5840000000000003E-4</v>
          </cell>
          <cell r="FL24">
            <v>9.234E-4</v>
          </cell>
          <cell r="FM24">
            <v>0</v>
          </cell>
          <cell r="FN24">
            <v>0</v>
          </cell>
          <cell r="FO24">
            <v>0.99546820000000003</v>
          </cell>
          <cell r="FP24">
            <v>5.5799389165355193E-2</v>
          </cell>
          <cell r="FT24">
            <v>0</v>
          </cell>
          <cell r="FV24">
            <v>0.31429000000000001</v>
          </cell>
          <cell r="FX24">
            <v>8.8724710457376439</v>
          </cell>
        </row>
        <row r="25">
          <cell r="D25">
            <v>4.0416666666666661</v>
          </cell>
          <cell r="E25">
            <v>4.0416666666666661</v>
          </cell>
          <cell r="F25">
            <v>374.01107563238952</v>
          </cell>
          <cell r="G25">
            <v>493.7024622084017</v>
          </cell>
          <cell r="H25">
            <v>516.16473031979001</v>
          </cell>
          <cell r="I25">
            <v>268.42926833017725</v>
          </cell>
          <cell r="J25">
            <v>362.90768087001561</v>
          </cell>
          <cell r="K25">
            <v>378.33608642504402</v>
          </cell>
          <cell r="O25">
            <v>335.53658541272154</v>
          </cell>
          <cell r="S25">
            <v>25.864979419941779</v>
          </cell>
          <cell r="DR25">
            <v>3.4199999999999999E-3</v>
          </cell>
          <cell r="DS25">
            <v>4.7040000000000005E-4</v>
          </cell>
          <cell r="DT25">
            <v>1.0709999999999997E-3</v>
          </cell>
          <cell r="DU25">
            <v>0</v>
          </cell>
          <cell r="DV25">
            <v>0</v>
          </cell>
          <cell r="DW25"/>
          <cell r="DX25">
            <v>0.9950386</v>
          </cell>
          <cell r="DZ25">
            <v>6.2335904308298246E-2</v>
          </cell>
          <cell r="EA25">
            <v>6.1790125381867116E-3</v>
          </cell>
          <cell r="EB25">
            <v>2.095037169233286E-2</v>
          </cell>
          <cell r="EC25">
            <v>0</v>
          </cell>
          <cell r="EG25">
            <v>8.9272769306535551</v>
          </cell>
          <cell r="EI25">
            <v>2.1599999999999996E-3</v>
          </cell>
          <cell r="EJ25">
            <v>4.7040000000000005E-4</v>
          </cell>
          <cell r="EK25">
            <v>1.0709999999999997E-3</v>
          </cell>
          <cell r="EL25">
            <v>0</v>
          </cell>
          <cell r="EM25">
            <v>0</v>
          </cell>
          <cell r="EN25">
            <v>0.06</v>
          </cell>
          <cell r="EO25">
            <v>0.93629859999999998</v>
          </cell>
          <cell r="EZ25" t="e">
            <v>#NAME?</v>
          </cell>
          <cell r="FC25" t="e">
            <v>#NAME?</v>
          </cell>
          <cell r="FD25" t="e">
            <v>#NAME?</v>
          </cell>
          <cell r="FE25" t="e">
            <v>#NAME?</v>
          </cell>
          <cell r="FJ25">
            <v>3.4199999999999999E-3</v>
          </cell>
          <cell r="FK25">
            <v>4.7040000000000005E-4</v>
          </cell>
          <cell r="FL25">
            <v>1.0709999999999997E-3</v>
          </cell>
          <cell r="FM25">
            <v>0</v>
          </cell>
          <cell r="FN25">
            <v>0</v>
          </cell>
          <cell r="FO25">
            <v>0.9950386</v>
          </cell>
          <cell r="FP25">
            <v>5.6285604861060948E-2</v>
          </cell>
          <cell r="FT25">
            <v>0</v>
          </cell>
          <cell r="FV25">
            <v>0.33239999999999997</v>
          </cell>
          <cell r="FX25">
            <v>8.422350069756714</v>
          </cell>
        </row>
        <row r="26">
          <cell r="D26">
            <v>4.0416666666666661</v>
          </cell>
          <cell r="E26">
            <v>4.0416666666666661</v>
          </cell>
          <cell r="F26">
            <v>431.91770935495339</v>
          </cell>
          <cell r="G26">
            <v>582.2805762677699</v>
          </cell>
          <cell r="H26">
            <v>606.87159522082152</v>
          </cell>
          <cell r="I26">
            <v>311.66696975257241</v>
          </cell>
          <cell r="J26">
            <v>430.63122524054381</v>
          </cell>
          <cell r="K26">
            <v>447.68830047520794</v>
          </cell>
          <cell r="O26">
            <v>389.58371219071552</v>
          </cell>
          <cell r="S26">
            <v>29.084947298577109</v>
          </cell>
          <cell r="DR26">
            <v>3.7100000000000002E-3</v>
          </cell>
          <cell r="DS26">
            <v>4.8840000000000005E-4</v>
          </cell>
          <cell r="DT26">
            <v>1.2366E-3</v>
          </cell>
          <cell r="DU26">
            <v>0</v>
          </cell>
          <cell r="DV26">
            <v>0</v>
          </cell>
          <cell r="DW26"/>
          <cell r="DX26">
            <v>0.99456499999999992</v>
          </cell>
          <cell r="DZ26">
            <v>6.2205457996540967E-2</v>
          </cell>
          <cell r="EA26">
            <v>6.044774539796214E-3</v>
          </cell>
          <cell r="EB26">
            <v>2.0916874231783917E-2</v>
          </cell>
          <cell r="EC26">
            <v>0</v>
          </cell>
          <cell r="EG26">
            <v>8.3810772075048554</v>
          </cell>
          <cell r="EI26">
            <v>2.2859999999999998E-3</v>
          </cell>
          <cell r="EJ26">
            <v>4.8840000000000005E-4</v>
          </cell>
          <cell r="EK26">
            <v>1.2366E-3</v>
          </cell>
          <cell r="EL26">
            <v>0</v>
          </cell>
          <cell r="EM26">
            <v>0</v>
          </cell>
          <cell r="EN26">
            <v>0.06</v>
          </cell>
          <cell r="EO26">
            <v>0.93598899999999996</v>
          </cell>
          <cell r="EZ26" t="e">
            <v>#NAME?</v>
          </cell>
          <cell r="FC26" t="e">
            <v>#NAME?</v>
          </cell>
          <cell r="FD26" t="e">
            <v>#NAME?</v>
          </cell>
          <cell r="FE26" t="e">
            <v>#NAME?</v>
          </cell>
          <cell r="FJ26">
            <v>3.7100000000000002E-3</v>
          </cell>
          <cell r="FK26">
            <v>4.8840000000000005E-4</v>
          </cell>
          <cell r="FL26">
            <v>1.2366E-3</v>
          </cell>
          <cell r="FM26">
            <v>0</v>
          </cell>
          <cell r="FN26">
            <v>0</v>
          </cell>
          <cell r="FO26">
            <v>0.99456499999999992</v>
          </cell>
          <cell r="FP26">
            <v>5.6541472077772603E-2</v>
          </cell>
          <cell r="FT26">
            <v>0</v>
          </cell>
          <cell r="FV26">
            <v>0.35156999999999999</v>
          </cell>
          <cell r="FX26">
            <v>7.9442172638236341</v>
          </cell>
        </row>
        <row r="27">
          <cell r="D27">
            <v>4.0416666666666661</v>
          </cell>
          <cell r="E27">
            <v>4.0416666666666661</v>
          </cell>
          <cell r="F27">
            <v>512.76759508950158</v>
          </cell>
          <cell r="G27">
            <v>697.91582708745784</v>
          </cell>
          <cell r="H27">
            <v>724.85057099291782</v>
          </cell>
          <cell r="I27">
            <v>373.62493733591742</v>
          </cell>
          <cell r="J27">
            <v>520.41206843217128</v>
          </cell>
          <cell r="K27">
            <v>539.28578323962631</v>
          </cell>
          <cell r="O27">
            <v>467.03117166989676</v>
          </cell>
          <cell r="S27">
            <v>33.303088389625607</v>
          </cell>
          <cell r="DR27">
            <v>4.0299999999999997E-3</v>
          </cell>
          <cell r="DS27">
            <v>5.0039999999999991E-4</v>
          </cell>
          <cell r="DT27">
            <v>1.3932E-3</v>
          </cell>
          <cell r="DU27">
            <v>0</v>
          </cell>
          <cell r="DV27">
            <v>0</v>
          </cell>
          <cell r="DW27"/>
          <cell r="DX27">
            <v>0.99407640000000008</v>
          </cell>
          <cell r="DZ27">
            <v>6.1776078591505738E-2</v>
          </cell>
          <cell r="EA27">
            <v>5.8936142291131921E-3</v>
          </cell>
          <cell r="EB27">
            <v>2.0734172636868435E-2</v>
          </cell>
          <cell r="EC27">
            <v>0</v>
          </cell>
          <cell r="EG27">
            <v>7.8073260393188066</v>
          </cell>
          <cell r="EI27">
            <v>2.3981999999999992E-3</v>
          </cell>
          <cell r="EJ27">
            <v>5.0039999999999991E-4</v>
          </cell>
          <cell r="EK27">
            <v>1.3932E-3</v>
          </cell>
          <cell r="EL27">
            <v>0</v>
          </cell>
          <cell r="EM27">
            <v>0</v>
          </cell>
          <cell r="EN27">
            <v>0.06</v>
          </cell>
          <cell r="EO27">
            <v>0.9357082000000001</v>
          </cell>
          <cell r="EZ27" t="e">
            <v>#NAME?</v>
          </cell>
          <cell r="FC27" t="e">
            <v>#NAME?</v>
          </cell>
          <cell r="FD27" t="e">
            <v>#NAME?</v>
          </cell>
          <cell r="FE27" t="e">
            <v>#NAME?</v>
          </cell>
          <cell r="FJ27">
            <v>4.0299999999999997E-3</v>
          </cell>
          <cell r="FK27">
            <v>5.0039999999999991E-4</v>
          </cell>
          <cell r="FL27">
            <v>1.3932E-3</v>
          </cell>
          <cell r="FM27">
            <v>0</v>
          </cell>
          <cell r="FN27">
            <v>0</v>
          </cell>
          <cell r="FO27">
            <v>0.99407640000000008</v>
          </cell>
          <cell r="FP27">
            <v>5.6521478392232039E-2</v>
          </cell>
          <cell r="FT27">
            <v>0</v>
          </cell>
          <cell r="FV27">
            <v>0.37187999999999999</v>
          </cell>
          <cell r="FX27">
            <v>7.4360060790115989</v>
          </cell>
        </row>
        <row r="28">
          <cell r="D28">
            <v>4.0416666666666661</v>
          </cell>
          <cell r="E28">
            <v>4.0416666666666661</v>
          </cell>
          <cell r="F28">
            <v>577.9875965265303</v>
          </cell>
          <cell r="G28">
            <v>802.54883417618043</v>
          </cell>
          <cell r="H28">
            <v>832.06651177605022</v>
          </cell>
          <cell r="I28">
            <v>423.70663713694626</v>
          </cell>
          <cell r="J28">
            <v>602.05254139515932</v>
          </cell>
          <cell r="K28">
            <v>622.95584646044108</v>
          </cell>
          <cell r="O28">
            <v>529.63329642118276</v>
          </cell>
          <cell r="S28">
            <v>37.111230705080914</v>
          </cell>
          <cell r="DR28">
            <v>4.3699999999999998E-3</v>
          </cell>
          <cell r="DS28">
            <v>5.2439999999999995E-4</v>
          </cell>
          <cell r="DT28">
            <v>1.5623999999999996E-3</v>
          </cell>
          <cell r="DU28">
            <v>0</v>
          </cell>
          <cell r="DV28">
            <v>0</v>
          </cell>
          <cell r="DW28"/>
          <cell r="DX28">
            <v>0.99354320000000007</v>
          </cell>
          <cell r="DZ28">
            <v>6.1012379409636178E-2</v>
          </cell>
          <cell r="EA28">
            <v>5.7125670720982007E-3</v>
          </cell>
          <cell r="EB28">
            <v>2.0381549200865743E-2</v>
          </cell>
          <cell r="EC28">
            <v>0</v>
          </cell>
          <cell r="EG28">
            <v>7.2039804922070214</v>
          </cell>
          <cell r="EI28">
            <v>2.5691999999999998E-3</v>
          </cell>
          <cell r="EJ28">
            <v>5.2439999999999995E-4</v>
          </cell>
          <cell r="EK28">
            <v>1.5623999999999996E-3</v>
          </cell>
          <cell r="EL28">
            <v>0</v>
          </cell>
          <cell r="EM28">
            <v>0</v>
          </cell>
          <cell r="EN28">
            <v>0.06</v>
          </cell>
          <cell r="EO28">
            <v>0.93534399999999995</v>
          </cell>
          <cell r="EZ28" t="e">
            <v>#NAME?</v>
          </cell>
          <cell r="FC28" t="e">
            <v>#NAME?</v>
          </cell>
          <cell r="FD28" t="e">
            <v>#NAME?</v>
          </cell>
          <cell r="FE28" t="e">
            <v>#NAME?</v>
          </cell>
          <cell r="FJ28">
            <v>4.3699999999999998E-3</v>
          </cell>
          <cell r="FK28">
            <v>5.2439999999999995E-4</v>
          </cell>
          <cell r="FL28">
            <v>1.5623999999999996E-3</v>
          </cell>
          <cell r="FM28">
            <v>0</v>
          </cell>
          <cell r="FN28">
            <v>0</v>
          </cell>
          <cell r="FO28">
            <v>0.99354320000000007</v>
          </cell>
          <cell r="FP28">
            <v>5.6188170265497377E-2</v>
          </cell>
          <cell r="FT28">
            <v>0</v>
          </cell>
          <cell r="FV28">
            <v>0.39343</v>
          </cell>
          <cell r="FX28">
            <v>6.8951908265273696</v>
          </cell>
        </row>
        <row r="29">
          <cell r="D29">
            <v>4.0416666666666661</v>
          </cell>
          <cell r="E29">
            <v>4.0416666666666661</v>
          </cell>
          <cell r="F29">
            <v>666.80565435901678</v>
          </cell>
          <cell r="G29">
            <v>935.98442391238962</v>
          </cell>
          <cell r="H29">
            <v>968.3508473643484</v>
          </cell>
          <cell r="I29">
            <v>493.17329048149804</v>
          </cell>
          <cell r="J29">
            <v>707.27590821977606</v>
          </cell>
          <cell r="K29">
            <v>730.45072051464285</v>
          </cell>
          <cell r="O29">
            <v>616.46661310187255</v>
          </cell>
          <cell r="S29">
            <v>41.982195828845704</v>
          </cell>
          <cell r="DR29">
            <v>4.7299999999999998E-3</v>
          </cell>
          <cell r="DS29">
            <v>5.4239999999999996E-4</v>
          </cell>
          <cell r="DT29">
            <v>1.7405999999999999E-3</v>
          </cell>
          <cell r="DU29">
            <v>0</v>
          </cell>
          <cell r="DV29">
            <v>0</v>
          </cell>
          <cell r="DW29"/>
          <cell r="DX29">
            <v>0.99298699999999995</v>
          </cell>
          <cell r="DZ29">
            <v>5.9874925994939772E-2</v>
          </cell>
          <cell r="EA29">
            <v>5.5058329664409581E-3</v>
          </cell>
          <cell r="EB29">
            <v>1.9839927168543763E-2</v>
          </cell>
          <cell r="EC29">
            <v>0</v>
          </cell>
          <cell r="EG29">
            <v>6.5690022112795754</v>
          </cell>
          <cell r="EI29">
            <v>2.7653999999999995E-3</v>
          </cell>
          <cell r="EJ29">
            <v>5.4239999999999996E-4</v>
          </cell>
          <cell r="EK29">
            <v>1.7405999999999999E-3</v>
          </cell>
          <cell r="EL29">
            <v>0</v>
          </cell>
          <cell r="EM29">
            <v>0</v>
          </cell>
          <cell r="EN29">
            <v>0.06</v>
          </cell>
          <cell r="EO29">
            <v>0.93495159999999999</v>
          </cell>
          <cell r="EZ29" t="e">
            <v>#NAME?</v>
          </cell>
          <cell r="FC29" t="e">
            <v>#NAME?</v>
          </cell>
          <cell r="FD29" t="e">
            <v>#NAME?</v>
          </cell>
          <cell r="FE29" t="e">
            <v>#NAME?</v>
          </cell>
          <cell r="FJ29">
            <v>4.7299999999999998E-3</v>
          </cell>
          <cell r="FK29">
            <v>5.4239999999999996E-4</v>
          </cell>
          <cell r="FL29">
            <v>1.7405999999999999E-3</v>
          </cell>
          <cell r="FM29">
            <v>0</v>
          </cell>
          <cell r="FN29">
            <v>0</v>
          </cell>
          <cell r="FO29">
            <v>0.99298699999999995</v>
          </cell>
          <cell r="FP29">
            <v>5.5499620168999904E-2</v>
          </cell>
          <cell r="FT29">
            <v>0</v>
          </cell>
          <cell r="FV29">
            <v>0.41631000000000001</v>
          </cell>
          <cell r="FX29">
            <v>6.3191799111016485</v>
          </cell>
        </row>
        <row r="30">
          <cell r="D30">
            <v>4.0416666666666661</v>
          </cell>
          <cell r="E30">
            <v>4.0416666666666661</v>
          </cell>
          <cell r="F30">
            <v>740.76861543862628</v>
          </cell>
          <cell r="G30">
            <v>1060.4275300014533</v>
          </cell>
          <cell r="H30">
            <v>1095.9390672102634</v>
          </cell>
          <cell r="I30">
            <v>557.02345818154515</v>
          </cell>
          <cell r="J30">
            <v>806.11807515674775</v>
          </cell>
          <cell r="K30">
            <v>831.83996514256501</v>
          </cell>
          <cell r="O30">
            <v>689.42904431439206</v>
          </cell>
          <cell r="S30">
            <v>46.517680246702142</v>
          </cell>
          <cell r="DR30">
            <v>5.1200000000000004E-3</v>
          </cell>
          <cell r="DS30">
            <v>5.664E-4</v>
          </cell>
          <cell r="DT30">
            <v>1.9259999999999995E-3</v>
          </cell>
          <cell r="DU30">
            <v>0</v>
          </cell>
          <cell r="DV30">
            <v>0</v>
          </cell>
          <cell r="DW30"/>
          <cell r="DX30">
            <v>0.99238760000000004</v>
          </cell>
          <cell r="DZ30">
            <v>5.8312318842634311E-2</v>
          </cell>
          <cell r="EA30">
            <v>5.2658218227393085E-3</v>
          </cell>
          <cell r="EB30">
            <v>1.9090931185867334E-2</v>
          </cell>
          <cell r="EC30">
            <v>0</v>
          </cell>
          <cell r="EG30">
            <v>5.8999667933881446</v>
          </cell>
          <cell r="EI30">
            <v>3.0108000000000001E-3</v>
          </cell>
          <cell r="EJ30">
            <v>5.664E-4</v>
          </cell>
          <cell r="EK30">
            <v>1.9259999999999995E-3</v>
          </cell>
          <cell r="EL30">
            <v>0</v>
          </cell>
          <cell r="EM30">
            <v>0</v>
          </cell>
          <cell r="EN30">
            <v>0.06</v>
          </cell>
          <cell r="EO30">
            <v>0.93449680000000002</v>
          </cell>
          <cell r="EZ30" t="e">
            <v>#NAME?</v>
          </cell>
          <cell r="FC30" t="e">
            <v>#NAME?</v>
          </cell>
          <cell r="FD30" t="e">
            <v>#NAME?</v>
          </cell>
          <cell r="FE30" t="e">
            <v>#NAME?</v>
          </cell>
          <cell r="FJ30">
            <v>5.1200000000000004E-3</v>
          </cell>
          <cell r="FK30">
            <v>5.664E-4</v>
          </cell>
          <cell r="FL30">
            <v>1.9259999999999995E-3</v>
          </cell>
          <cell r="FM30">
            <v>0</v>
          </cell>
          <cell r="FN30">
            <v>0</v>
          </cell>
          <cell r="FO30">
            <v>0.99238760000000004</v>
          </cell>
          <cell r="FP30">
            <v>5.440121932195132E-2</v>
          </cell>
          <cell r="FT30">
            <v>0</v>
          </cell>
          <cell r="FV30">
            <v>0.44063999999999998</v>
          </cell>
          <cell r="FX30">
            <v>5.7049353166992676</v>
          </cell>
        </row>
        <row r="31">
          <cell r="D31">
            <v>4.0416666666666661</v>
          </cell>
          <cell r="E31">
            <v>4.0416666666666661</v>
          </cell>
          <cell r="F31">
            <v>839.18524079761823</v>
          </cell>
          <cell r="G31">
            <v>1215.9210228008212</v>
          </cell>
          <cell r="H31">
            <v>1254.9071293514789</v>
          </cell>
          <cell r="I31">
            <v>675.83905024824685</v>
          </cell>
          <cell r="J31">
            <v>952.03750453548014</v>
          </cell>
          <cell r="K31">
            <v>980.61961136566572</v>
          </cell>
          <cell r="O31">
            <v>787.70625408754199</v>
          </cell>
          <cell r="S31">
            <v>52.19939645216931</v>
          </cell>
          <cell r="DR31">
            <v>5.5300000000000002E-3</v>
          </cell>
          <cell r="DS31">
            <v>5.9040000000000004E-4</v>
          </cell>
          <cell r="DT31">
            <v>2.0987999999999996E-3</v>
          </cell>
          <cell r="DU31">
            <v>0</v>
          </cell>
          <cell r="DV31">
            <v>0</v>
          </cell>
          <cell r="DW31"/>
          <cell r="DX31">
            <v>0.99178080000000002</v>
          </cell>
          <cell r="DZ31">
            <v>5.6277112263568012E-2</v>
          </cell>
          <cell r="EA31">
            <v>4.9902605066782417E-3</v>
          </cell>
          <cell r="EB31">
            <v>1.8133905806134214E-2</v>
          </cell>
          <cell r="EC31">
            <v>0</v>
          </cell>
          <cell r="EG31">
            <v>5.194306203185457</v>
          </cell>
          <cell r="EI31">
            <v>3.2556E-3</v>
          </cell>
          <cell r="EJ31">
            <v>5.9040000000000004E-4</v>
          </cell>
          <cell r="EK31">
            <v>2.0987999999999996E-3</v>
          </cell>
          <cell r="EL31">
            <v>0</v>
          </cell>
          <cell r="EM31">
            <v>0</v>
          </cell>
          <cell r="EN31">
            <v>0.06</v>
          </cell>
          <cell r="EO31">
            <v>0.93405519999999997</v>
          </cell>
          <cell r="EZ31" t="e">
            <v>#NAME?</v>
          </cell>
          <cell r="FC31" t="e">
            <v>#NAME?</v>
          </cell>
          <cell r="FD31" t="e">
            <v>#NAME?</v>
          </cell>
          <cell r="FE31" t="e">
            <v>#NAME?</v>
          </cell>
          <cell r="FJ31">
            <v>5.5300000000000002E-3</v>
          </cell>
          <cell r="FK31">
            <v>5.9040000000000004E-4</v>
          </cell>
          <cell r="FL31">
            <v>2.0987999999999996E-3</v>
          </cell>
          <cell r="FM31">
            <v>0</v>
          </cell>
          <cell r="FN31">
            <v>0</v>
          </cell>
          <cell r="FO31">
            <v>0.99178080000000002</v>
          </cell>
          <cell r="FP31">
            <v>5.2841614374747076E-2</v>
          </cell>
          <cell r="FT31">
            <v>0</v>
          </cell>
          <cell r="FV31">
            <v>0.46654000000000001</v>
          </cell>
          <cell r="FX31">
            <v>5.0491925859258213</v>
          </cell>
        </row>
        <row r="32">
          <cell r="D32">
            <v>4.0416666666666661</v>
          </cell>
          <cell r="E32">
            <v>4.0416666666666661</v>
          </cell>
          <cell r="F32">
            <v>923.75784286115731</v>
          </cell>
          <cell r="G32">
            <v>1364.9790455165403</v>
          </cell>
          <cell r="H32">
            <v>1407.8046693241622</v>
          </cell>
          <cell r="I32">
            <v>785.07855820653322</v>
          </cell>
          <cell r="J32">
            <v>1112.6749367956513</v>
          </cell>
          <cell r="K32">
            <v>1144.4719564895454</v>
          </cell>
          <cell r="O32">
            <v>873.38750041225717</v>
          </cell>
          <cell r="S32">
            <v>57.640495169900156</v>
          </cell>
          <cell r="DR32">
            <v>5.9699999999999996E-3</v>
          </cell>
          <cell r="DS32">
            <v>6.0840000000000004E-4</v>
          </cell>
          <cell r="DT32">
            <v>2.2193999999999994E-3</v>
          </cell>
          <cell r="DU32">
            <v>0</v>
          </cell>
          <cell r="DV32">
            <v>0</v>
          </cell>
          <cell r="DW32"/>
          <cell r="DX32">
            <v>0.99120220000000003</v>
          </cell>
          <cell r="DZ32">
            <v>5.3706016896727576E-2</v>
          </cell>
          <cell r="EA32">
            <v>4.6825501931144929E-3</v>
          </cell>
          <cell r="EB32">
            <v>1.700709391893318E-2</v>
          </cell>
          <cell r="EC32">
            <v>0</v>
          </cell>
          <cell r="EG32">
            <v>4.4489771588148317</v>
          </cell>
          <cell r="EI32">
            <v>3.5171999999999994E-3</v>
          </cell>
          <cell r="EJ32">
            <v>6.0840000000000004E-4</v>
          </cell>
          <cell r="EK32">
            <v>2.2193999999999994E-3</v>
          </cell>
          <cell r="EL32">
            <v>0</v>
          </cell>
          <cell r="EM32">
            <v>0</v>
          </cell>
          <cell r="EN32">
            <v>0.06</v>
          </cell>
          <cell r="EO32">
            <v>0.93365500000000012</v>
          </cell>
          <cell r="EZ32" t="e">
            <v>#NAME?</v>
          </cell>
          <cell r="FC32" t="e">
            <v>#NAME?</v>
          </cell>
          <cell r="FD32" t="e">
            <v>#NAME?</v>
          </cell>
          <cell r="FE32" t="e">
            <v>#NAME?</v>
          </cell>
          <cell r="FJ32">
            <v>5.9699999999999996E-3</v>
          </cell>
          <cell r="FK32">
            <v>6.0840000000000004E-4</v>
          </cell>
          <cell r="FL32">
            <v>2.2193999999999994E-3</v>
          </cell>
          <cell r="FM32">
            <v>0</v>
          </cell>
          <cell r="FN32">
            <v>0</v>
          </cell>
          <cell r="FO32">
            <v>0.99120220000000003</v>
          </cell>
          <cell r="FP32">
            <v>5.0752832579574206E-2</v>
          </cell>
          <cell r="FT32">
            <v>0</v>
          </cell>
          <cell r="FV32">
            <v>0.49418000000000001</v>
          </cell>
          <cell r="FX32">
            <v>4.3481282396382337</v>
          </cell>
        </row>
        <row r="33">
          <cell r="D33">
            <v>4.0416666666666661</v>
          </cell>
          <cell r="E33">
            <v>4.0416666666666661</v>
          </cell>
          <cell r="F33">
            <v>1033.8426865075949</v>
          </cell>
          <cell r="G33">
            <v>1547.9091367720207</v>
          </cell>
          <cell r="H33">
            <v>1594.982576240744</v>
          </cell>
          <cell r="I33">
            <v>922.32792220965121</v>
          </cell>
          <cell r="J33">
            <v>1309.0816074329362</v>
          </cell>
          <cell r="K33">
            <v>1344.4969242296252</v>
          </cell>
          <cell r="O33">
            <v>985.73982578679227</v>
          </cell>
          <cell r="S33">
            <v>64.332678643654575</v>
          </cell>
          <cell r="DR33">
            <v>6.4599999999999996E-3</v>
          </cell>
          <cell r="DS33">
            <v>6.3840000000000012E-4</v>
          </cell>
          <cell r="DT33">
            <v>2.3345999999999996E-3</v>
          </cell>
          <cell r="DU33">
            <v>0</v>
          </cell>
          <cell r="DV33">
            <v>0</v>
          </cell>
          <cell r="DW33"/>
          <cell r="DX33">
            <v>0.99056699999999998</v>
          </cell>
          <cell r="DZ33">
            <v>5.0515240034603837E-2</v>
          </cell>
          <cell r="EA33">
            <v>4.3284732917172157E-3</v>
          </cell>
          <cell r="EB33">
            <v>1.5705008144545202E-2</v>
          </cell>
          <cell r="EC33">
            <v>0</v>
          </cell>
          <cell r="EG33">
            <v>3.6605285693203697</v>
          </cell>
          <cell r="EI33">
            <v>3.7871999999999997E-3</v>
          </cell>
          <cell r="EJ33">
            <v>6.3840000000000012E-4</v>
          </cell>
          <cell r="EK33">
            <v>2.3345999999999996E-3</v>
          </cell>
          <cell r="EL33">
            <v>0</v>
          </cell>
          <cell r="EM33">
            <v>0</v>
          </cell>
          <cell r="EN33">
            <v>0.06</v>
          </cell>
          <cell r="EO33">
            <v>0.93323979999999995</v>
          </cell>
          <cell r="EZ33" t="e">
            <v>#NAME?</v>
          </cell>
          <cell r="FC33" t="e">
            <v>#NAME?</v>
          </cell>
          <cell r="FD33" t="e">
            <v>#NAME?</v>
          </cell>
          <cell r="FE33" t="e">
            <v>#NAME?</v>
          </cell>
          <cell r="FJ33">
            <v>6.4599999999999996E-3</v>
          </cell>
          <cell r="FK33">
            <v>6.3840000000000012E-4</v>
          </cell>
          <cell r="FL33">
            <v>2.3345999999999996E-3</v>
          </cell>
          <cell r="FM33">
            <v>0</v>
          </cell>
          <cell r="FN33">
            <v>0</v>
          </cell>
          <cell r="FO33">
            <v>0.99056699999999998</v>
          </cell>
          <cell r="FP33">
            <v>4.8044974945911305E-2</v>
          </cell>
          <cell r="FT33">
            <v>0</v>
          </cell>
          <cell r="FV33">
            <v>0.52368999999999999</v>
          </cell>
          <cell r="FX33">
            <v>3.5974058322456495</v>
          </cell>
        </row>
        <row r="34">
          <cell r="D34">
            <v>4.0416666666666661</v>
          </cell>
          <cell r="E34">
            <v>4.0416666666666661</v>
          </cell>
          <cell r="F34">
            <v>1131.3067315639896</v>
          </cell>
          <cell r="G34">
            <v>1727.6783518633567</v>
          </cell>
          <cell r="H34">
            <v>1779.4583591637829</v>
          </cell>
          <cell r="I34">
            <v>1051.9441209460181</v>
          </cell>
          <cell r="J34">
            <v>1506.8176571370316</v>
          </cell>
          <cell r="K34">
            <v>1546.312083469589</v>
          </cell>
          <cell r="O34">
            <v>1087.052763031968</v>
          </cell>
          <cell r="S34">
            <v>71.178334366551312</v>
          </cell>
          <cell r="DR34">
            <v>7.0000000000000001E-3</v>
          </cell>
          <cell r="DS34">
            <v>6.6839999999999998E-4</v>
          </cell>
          <cell r="DT34">
            <v>2.4803999999999998E-3</v>
          </cell>
          <cell r="DU34">
            <v>0</v>
          </cell>
          <cell r="DV34">
            <v>0</v>
          </cell>
          <cell r="DW34"/>
          <cell r="DX34">
            <v>0.98985119999999993</v>
          </cell>
          <cell r="DZ34">
            <v>4.661512004673353E-2</v>
          </cell>
          <cell r="EA34">
            <v>3.9249878192666853E-3</v>
          </cell>
          <cell r="EB34">
            <v>1.4185231647000633E-2</v>
          </cell>
          <cell r="EC34">
            <v>0</v>
          </cell>
          <cell r="EG34">
            <v>2.8255292725530219</v>
          </cell>
          <cell r="EI34">
            <v>4.0631999999999986E-3</v>
          </cell>
          <cell r="EJ34">
            <v>6.6839999999999998E-4</v>
          </cell>
          <cell r="EK34">
            <v>2.4803999999999998E-3</v>
          </cell>
          <cell r="EL34">
            <v>0</v>
          </cell>
          <cell r="EM34">
            <v>0</v>
          </cell>
          <cell r="EN34">
            <v>0.06</v>
          </cell>
          <cell r="EO34">
            <v>0.93278799999999995</v>
          </cell>
          <cell r="EZ34" t="e">
            <v>#NAME?</v>
          </cell>
          <cell r="FC34" t="e">
            <v>#NAME?</v>
          </cell>
          <cell r="FD34" t="e">
            <v>#NAME?</v>
          </cell>
          <cell r="FE34" t="e">
            <v>#NAME?</v>
          </cell>
          <cell r="FJ34">
            <v>7.0000000000000001E-3</v>
          </cell>
          <cell r="FK34">
            <v>6.6839999999999998E-4</v>
          </cell>
          <cell r="FL34">
            <v>2.4803999999999998E-3</v>
          </cell>
          <cell r="FM34">
            <v>0</v>
          </cell>
          <cell r="FN34">
            <v>0</v>
          </cell>
          <cell r="FO34">
            <v>0.98985119999999993</v>
          </cell>
          <cell r="FP34">
            <v>4.4620745337678576E-2</v>
          </cell>
          <cell r="FT34">
            <v>0</v>
          </cell>
          <cell r="FV34">
            <v>0.55525000000000002</v>
          </cell>
          <cell r="FX34">
            <v>2.7925796148484823</v>
          </cell>
        </row>
        <row r="35">
          <cell r="D35">
            <v>4.0416666666666661</v>
          </cell>
          <cell r="E35">
            <v>4.0416666666666661</v>
          </cell>
          <cell r="F35">
            <v>1255.6904641719573</v>
          </cell>
          <cell r="G35">
            <v>1945.105690125612</v>
          </cell>
          <cell r="H35">
            <v>2002.1098713229633</v>
          </cell>
          <cell r="I35">
            <v>1211.7363466449465</v>
          </cell>
          <cell r="J35">
            <v>1745.1035286101628</v>
          </cell>
          <cell r="K35">
            <v>1789.2049037189129</v>
          </cell>
          <cell r="O35">
            <v>1216.8241013603604</v>
          </cell>
          <cell r="S35">
            <v>80.084394852918535</v>
          </cell>
          <cell r="DR35">
            <v>7.6299999999999996E-3</v>
          </cell>
          <cell r="DS35">
            <v>6.9839999999999995E-4</v>
          </cell>
          <cell r="DT35">
            <v>2.6369999999999992E-3</v>
          </cell>
          <cell r="DU35">
            <v>0</v>
          </cell>
          <cell r="DV35">
            <v>0</v>
          </cell>
          <cell r="DW35"/>
          <cell r="DX35">
            <v>0.98903459999999999</v>
          </cell>
          <cell r="DZ35">
            <v>4.1868207936470253E-2</v>
          </cell>
          <cell r="EA35">
            <v>3.468723122394862E-3</v>
          </cell>
          <cell r="EB35">
            <v>1.2422076732851074E-2</v>
          </cell>
          <cell r="EC35">
            <v>0</v>
          </cell>
          <cell r="EG35">
            <v>1.9401469581749047</v>
          </cell>
          <cell r="EI35">
            <v>4.3715999999999989E-3</v>
          </cell>
          <cell r="EJ35">
            <v>6.9839999999999995E-4</v>
          </cell>
          <cell r="EK35">
            <v>2.6369999999999992E-3</v>
          </cell>
          <cell r="EL35">
            <v>0</v>
          </cell>
          <cell r="EM35">
            <v>0</v>
          </cell>
          <cell r="EN35">
            <v>0.06</v>
          </cell>
          <cell r="EO35">
            <v>0.93229300000000004</v>
          </cell>
          <cell r="EZ35" t="e">
            <v>#NAME?</v>
          </cell>
          <cell r="FC35" t="e">
            <v>#NAME?</v>
          </cell>
          <cell r="FD35" t="e">
            <v>#NAME?</v>
          </cell>
          <cell r="FE35" t="e">
            <v>#NAME?</v>
          </cell>
          <cell r="FJ35">
            <v>7.6299999999999996E-3</v>
          </cell>
          <cell r="FK35">
            <v>6.9839999999999995E-4</v>
          </cell>
          <cell r="FL35">
            <v>2.6369999999999992E-3</v>
          </cell>
          <cell r="FM35">
            <v>0</v>
          </cell>
          <cell r="FN35">
            <v>0</v>
          </cell>
          <cell r="FO35">
            <v>0.98903459999999999</v>
          </cell>
          <cell r="FP35">
            <v>4.0333365268138938E-2</v>
          </cell>
          <cell r="FT35">
            <v>0</v>
          </cell>
          <cell r="FV35">
            <v>0.58903000000000005</v>
          </cell>
          <cell r="FX35">
            <v>1.9286709859154929</v>
          </cell>
        </row>
        <row r="36">
          <cell r="D36">
            <v>2.020833333333333</v>
          </cell>
          <cell r="E36">
            <v>2.020833333333333</v>
          </cell>
          <cell r="F36">
            <v>1089.1500244793142</v>
          </cell>
          <cell r="G36">
            <v>1775.1413808915308</v>
          </cell>
          <cell r="H36">
            <v>1990.8275785485848</v>
          </cell>
          <cell r="I36">
            <v>1100.7764074925867</v>
          </cell>
          <cell r="J36">
            <v>1724.6896839556434</v>
          </cell>
          <cell r="K36">
            <v>1990.8275785485848</v>
          </cell>
          <cell r="O36">
            <v>1057.6900341576261</v>
          </cell>
          <cell r="S36">
            <v>79.633103141943394</v>
          </cell>
          <cell r="DR36">
            <v>8.3300000000000006E-3</v>
          </cell>
          <cell r="DS36">
            <v>7.4040000000000011E-4</v>
          </cell>
          <cell r="DT36">
            <v>2.8115999999999996E-3</v>
          </cell>
          <cell r="DU36">
            <v>0</v>
          </cell>
          <cell r="DV36">
            <v>0</v>
          </cell>
          <cell r="DW36"/>
          <cell r="DX36">
            <v>0.98811800000000005</v>
          </cell>
          <cell r="DZ36">
            <v>3.61448275905982E-2</v>
          </cell>
          <cell r="EA36">
            <v>2.9436734527246693E-3</v>
          </cell>
          <cell r="EB36">
            <v>1.0379756995580821E-2</v>
          </cell>
          <cell r="EC36">
            <v>0</v>
          </cell>
          <cell r="EG36">
            <v>1</v>
          </cell>
          <cell r="EI36">
            <v>4.7267999999999989E-3</v>
          </cell>
          <cell r="EJ36">
            <v>7.4040000000000011E-4</v>
          </cell>
          <cell r="EK36">
            <v>2.8115999999999996E-3</v>
          </cell>
          <cell r="EL36">
            <v>0</v>
          </cell>
          <cell r="EM36">
            <v>0</v>
          </cell>
          <cell r="EN36">
            <v>0.06</v>
          </cell>
          <cell r="EO36">
            <v>0.93172119999999992</v>
          </cell>
          <cell r="EZ36" t="e">
            <v>#NAME?</v>
          </cell>
          <cell r="FC36" t="e">
            <v>#NAME?</v>
          </cell>
          <cell r="FD36" t="e">
            <v>#NAME?</v>
          </cell>
          <cell r="FE36" t="e">
            <v>#NAME?</v>
          </cell>
          <cell r="FJ36">
            <v>8.3300000000000006E-3</v>
          </cell>
          <cell r="FK36">
            <v>7.4040000000000011E-4</v>
          </cell>
          <cell r="FL36">
            <v>2.8115999999999996E-3</v>
          </cell>
          <cell r="FM36">
            <v>0</v>
          </cell>
          <cell r="FN36">
            <v>0</v>
          </cell>
          <cell r="FO36">
            <v>0.98811800000000005</v>
          </cell>
          <cell r="FP36">
            <v>3.5041395876371007E-2</v>
          </cell>
          <cell r="FT36">
            <v>0</v>
          </cell>
          <cell r="FV36">
            <v>0.62524000000000002</v>
          </cell>
          <cell r="FX36">
            <v>1</v>
          </cell>
        </row>
        <row r="37">
          <cell r="D37">
            <v>0</v>
          </cell>
          <cell r="E37">
            <v>0</v>
          </cell>
          <cell r="F37">
            <v>843.7029074482748</v>
          </cell>
          <cell r="G37">
            <v>1358.1964247574374</v>
          </cell>
          <cell r="H37">
            <v>1358.1964247574374</v>
          </cell>
          <cell r="I37">
            <v>851.12782172890854</v>
          </cell>
          <cell r="J37">
            <v>851.12782172890854</v>
          </cell>
          <cell r="K37">
            <v>851.12782172890854</v>
          </cell>
          <cell r="O37">
            <v>824.00140939945027</v>
          </cell>
          <cell r="S37">
            <v>54.753267716025185</v>
          </cell>
          <cell r="DR37">
            <v>9.1299999999999992E-3</v>
          </cell>
          <cell r="DS37">
            <v>7.8239999999999994E-4</v>
          </cell>
          <cell r="DT37">
            <v>2.9015999999999998E-3</v>
          </cell>
          <cell r="DU37">
            <v>0</v>
          </cell>
          <cell r="DV37">
            <v>0</v>
          </cell>
          <cell r="DW37"/>
          <cell r="DX37">
            <v>0.98718600000000012</v>
          </cell>
          <cell r="DZ37">
            <v>2.92694169339003E-2</v>
          </cell>
          <cell r="EA37">
            <v>2.3443854271295904E-3</v>
          </cell>
          <cell r="EB37">
            <v>8.1219794034265297E-3</v>
          </cell>
          <cell r="EC37">
            <v>0</v>
          </cell>
          <cell r="EG37">
            <v>0</v>
          </cell>
          <cell r="EI37">
            <v>5.1072000000000001E-3</v>
          </cell>
          <cell r="EJ37">
            <v>7.8239999999999994E-4</v>
          </cell>
          <cell r="EK37">
            <v>2.9015999999999998E-3</v>
          </cell>
          <cell r="EL37">
            <v>0</v>
          </cell>
          <cell r="EM37">
            <v>0</v>
          </cell>
          <cell r="EN37">
            <v>0</v>
          </cell>
          <cell r="EO37">
            <v>0.99120880000000011</v>
          </cell>
          <cell r="EZ37" t="e">
            <v>#NAME?</v>
          </cell>
          <cell r="FC37" t="e">
            <v>#NAME?</v>
          </cell>
          <cell r="FD37" t="e">
            <v>#NAME?</v>
          </cell>
          <cell r="FE37" t="e">
            <v>#NAME?</v>
          </cell>
          <cell r="FJ37">
            <v>9.1299999999999992E-3</v>
          </cell>
          <cell r="FK37">
            <v>7.8239999999999994E-4</v>
          </cell>
          <cell r="FL37">
            <v>2.9015999999999998E-3</v>
          </cell>
          <cell r="FM37">
            <v>0</v>
          </cell>
          <cell r="FN37">
            <v>0</v>
          </cell>
          <cell r="FO37">
            <v>0.98718600000000012</v>
          </cell>
          <cell r="FP37">
            <v>2.8554990253442727E-2</v>
          </cell>
          <cell r="FT37">
            <v>0</v>
          </cell>
          <cell r="FV37">
            <v>0.66413999999999995</v>
          </cell>
          <cell r="FX37">
            <v>0</v>
          </cell>
        </row>
        <row r="38">
          <cell r="D38">
            <v>0</v>
          </cell>
          <cell r="E38">
            <v>0</v>
          </cell>
          <cell r="F38">
            <v>581.56228130245495</v>
          </cell>
          <cell r="G38">
            <v>924.55795950856327</v>
          </cell>
          <cell r="H38">
            <v>924.55795950856327</v>
          </cell>
          <cell r="I38">
            <v>585.48087832091051</v>
          </cell>
          <cell r="J38">
            <v>585.48087832091051</v>
          </cell>
          <cell r="K38">
            <v>585.48087832091051</v>
          </cell>
          <cell r="O38">
            <v>571.29418303127272</v>
          </cell>
          <cell r="S38">
            <v>38.708644501816842</v>
          </cell>
          <cell r="DR38">
            <v>1.001E-2</v>
          </cell>
          <cell r="DS38">
            <v>8.2439999999999998E-4</v>
          </cell>
          <cell r="DT38">
            <v>2.9952000000000004E-3</v>
          </cell>
          <cell r="DU38">
            <v>0</v>
          </cell>
          <cell r="DV38">
            <v>0</v>
          </cell>
          <cell r="DW38"/>
          <cell r="DX38">
            <v>0.98617040000000011</v>
          </cell>
          <cell r="DZ38">
            <v>2.1072855780768836E-2</v>
          </cell>
          <cell r="EA38">
            <v>1.6649186279980915E-3</v>
          </cell>
          <cell r="EB38">
            <v>5.6269406711098903E-3</v>
          </cell>
          <cell r="EC38">
            <v>0</v>
          </cell>
          <cell r="EG38">
            <v>0</v>
          </cell>
          <cell r="EI38">
            <v>5.5109999999999994E-3</v>
          </cell>
          <cell r="EJ38">
            <v>8.2439999999999998E-4</v>
          </cell>
          <cell r="EK38">
            <v>2.9952000000000004E-3</v>
          </cell>
          <cell r="EL38">
            <v>0</v>
          </cell>
          <cell r="EM38">
            <v>0</v>
          </cell>
          <cell r="EN38">
            <v>0</v>
          </cell>
          <cell r="EO38">
            <v>0.99066940000000003</v>
          </cell>
          <cell r="EZ38" t="e">
            <v>#NAME?</v>
          </cell>
          <cell r="FC38" t="e">
            <v>#NAME?</v>
          </cell>
          <cell r="FD38" t="e">
            <v>#NAME?</v>
          </cell>
          <cell r="FE38" t="e">
            <v>#NAME?</v>
          </cell>
          <cell r="FJ38">
            <v>1.001E-2</v>
          </cell>
          <cell r="FK38">
            <v>8.2439999999999998E-4</v>
          </cell>
          <cell r="FL38">
            <v>2.9952000000000004E-3</v>
          </cell>
          <cell r="FM38">
            <v>0</v>
          </cell>
          <cell r="FN38">
            <v>0</v>
          </cell>
          <cell r="FO38">
            <v>0.98617040000000011</v>
          </cell>
          <cell r="FP38">
            <v>2.0687159764596973E-2</v>
          </cell>
          <cell r="FT38">
            <v>0</v>
          </cell>
          <cell r="FV38">
            <v>0.70601000000000003</v>
          </cell>
          <cell r="FX38">
            <v>0</v>
          </cell>
        </row>
        <row r="39">
          <cell r="D39">
            <v>0</v>
          </cell>
          <cell r="E39">
            <v>0</v>
          </cell>
          <cell r="F39">
            <v>300.97564208284479</v>
          </cell>
          <cell r="G39">
            <v>472.47348118589895</v>
          </cell>
          <cell r="H39">
            <v>472.47348118589895</v>
          </cell>
          <cell r="I39">
            <v>302.30075809606024</v>
          </cell>
          <cell r="J39">
            <v>302.30075809606024</v>
          </cell>
          <cell r="K39">
            <v>302.30075809606024</v>
          </cell>
          <cell r="O39">
            <v>297.42558393582715</v>
          </cell>
          <cell r="S39">
            <v>21.981518803878263</v>
          </cell>
          <cell r="DR39">
            <v>1.0959999999999999E-2</v>
          </cell>
          <cell r="DS39">
            <v>8.784000000000001E-4</v>
          </cell>
          <cell r="DT39">
            <v>3.0744000000000001E-3</v>
          </cell>
          <cell r="DU39">
            <v>0</v>
          </cell>
          <cell r="DV39">
            <v>0</v>
          </cell>
          <cell r="DW39"/>
          <cell r="DX39">
            <v>0.98508720000000005</v>
          </cell>
          <cell r="DZ39">
            <v>1.1378326996197717E-2</v>
          </cell>
          <cell r="EA39">
            <v>8.863117870722433E-4</v>
          </cell>
          <cell r="EB39">
            <v>2.8882129277566539E-3</v>
          </cell>
          <cell r="EC39">
            <v>0</v>
          </cell>
          <cell r="EG39">
            <v>0</v>
          </cell>
          <cell r="EI39">
            <v>6.1313999999999987E-3</v>
          </cell>
          <cell r="EJ39">
            <v>8.784000000000001E-4</v>
          </cell>
          <cell r="EK39">
            <v>3.0744000000000001E-3</v>
          </cell>
          <cell r="EL39">
            <v>0</v>
          </cell>
          <cell r="EM39">
            <v>0</v>
          </cell>
          <cell r="EN39">
            <v>0</v>
          </cell>
          <cell r="EO39">
            <v>0.98991580000000001</v>
          </cell>
          <cell r="EZ39" t="e">
            <v>#NAME?</v>
          </cell>
          <cell r="FC39" t="e">
            <v>#NAME?</v>
          </cell>
          <cell r="FD39" t="e">
            <v>#NAME?</v>
          </cell>
          <cell r="FE39" t="e">
            <v>#NAME?</v>
          </cell>
          <cell r="FJ39">
            <v>1.0959999999999999E-2</v>
          </cell>
          <cell r="FK39">
            <v>8.784000000000001E-4</v>
          </cell>
          <cell r="FL39">
            <v>3.0744000000000001E-3</v>
          </cell>
          <cell r="FM39">
            <v>0</v>
          </cell>
          <cell r="FN39">
            <v>0</v>
          </cell>
          <cell r="FO39">
            <v>0.98508720000000005</v>
          </cell>
          <cell r="FP39">
            <v>1.123943661971831E-2</v>
          </cell>
          <cell r="FT39">
            <v>0</v>
          </cell>
          <cell r="FV39">
            <v>0.75117</v>
          </cell>
          <cell r="FX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O40">
            <v>0</v>
          </cell>
          <cell r="S40">
            <v>4.5</v>
          </cell>
          <cell r="DR40">
            <v>1.197E-2</v>
          </cell>
          <cell r="DS40">
            <v>9.324E-4</v>
          </cell>
          <cell r="DT40">
            <v>3.0384000000000001E-3</v>
          </cell>
          <cell r="DU40">
            <v>0</v>
          </cell>
          <cell r="DV40">
            <v>0</v>
          </cell>
          <cell r="DW40"/>
          <cell r="DX40">
            <v>0.98405919999999991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G40">
            <v>0</v>
          </cell>
          <cell r="EI40">
            <v>6.7811999999999985E-3</v>
          </cell>
          <cell r="EJ40">
            <v>9.324E-4</v>
          </cell>
          <cell r="EK40">
            <v>3.0384000000000001E-3</v>
          </cell>
          <cell r="EL40">
            <v>0</v>
          </cell>
          <cell r="EM40">
            <v>0</v>
          </cell>
          <cell r="EN40">
            <v>0</v>
          </cell>
          <cell r="EO40">
            <v>0.98924799999999991</v>
          </cell>
          <cell r="EZ40" t="e">
            <v>#NAME?</v>
          </cell>
          <cell r="FC40" t="e">
            <v>#NAME?</v>
          </cell>
          <cell r="FD40" t="e">
            <v>#NAME?</v>
          </cell>
          <cell r="FE40" t="e">
            <v>#NAME?</v>
          </cell>
          <cell r="FJ40">
            <v>1.197E-2</v>
          </cell>
          <cell r="FK40">
            <v>9.324E-4</v>
          </cell>
          <cell r="FL40">
            <v>3.0384000000000001E-3</v>
          </cell>
          <cell r="FM40">
            <v>0</v>
          </cell>
          <cell r="FN40">
            <v>0</v>
          </cell>
          <cell r="FO40">
            <v>0.98405919999999991</v>
          </cell>
          <cell r="FP40">
            <v>0</v>
          </cell>
          <cell r="FT40">
            <v>0</v>
          </cell>
          <cell r="FV40">
            <v>0</v>
          </cell>
          <cell r="FX40">
            <v>0</v>
          </cell>
        </row>
        <row r="41"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O41" t="str">
            <v/>
          </cell>
          <cell r="S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/>
          <cell r="DX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G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Z41" t="str">
            <v/>
          </cell>
          <cell r="FC41" t="str">
            <v/>
          </cell>
          <cell r="FD41" t="str">
            <v/>
          </cell>
          <cell r="FE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T41" t="str">
            <v/>
          </cell>
          <cell r="FV41" t="str">
            <v/>
          </cell>
          <cell r="FX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O42" t="str">
            <v/>
          </cell>
          <cell r="S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/>
          <cell r="DX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G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Z42" t="str">
            <v/>
          </cell>
          <cell r="FC42" t="str">
            <v/>
          </cell>
          <cell r="FD42" t="str">
            <v/>
          </cell>
          <cell r="FE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T42" t="str">
            <v/>
          </cell>
          <cell r="FV42" t="str">
            <v/>
          </cell>
          <cell r="FX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O43" t="str">
            <v/>
          </cell>
          <cell r="S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/>
          <cell r="DX43" t="str">
            <v/>
          </cell>
          <cell r="DZ43" t="str">
            <v/>
          </cell>
          <cell r="EA43" t="str">
            <v/>
          </cell>
          <cell r="EB43" t="str">
            <v/>
          </cell>
          <cell r="EC43" t="str">
            <v/>
          </cell>
          <cell r="EG43" t="str">
            <v/>
          </cell>
          <cell r="EI43" t="str">
            <v/>
          </cell>
          <cell r="EJ43" t="str">
            <v/>
          </cell>
          <cell r="EK43" t="str">
            <v/>
          </cell>
          <cell r="EL43" t="str">
            <v/>
          </cell>
          <cell r="EM43" t="str">
            <v/>
          </cell>
          <cell r="EN43" t="str">
            <v/>
          </cell>
          <cell r="EO43" t="str">
            <v/>
          </cell>
          <cell r="EZ43" t="str">
            <v/>
          </cell>
          <cell r="FC43" t="str">
            <v/>
          </cell>
          <cell r="FD43" t="str">
            <v/>
          </cell>
          <cell r="FE43" t="str">
            <v/>
          </cell>
          <cell r="FJ43" t="str">
            <v/>
          </cell>
          <cell r="FK43" t="str">
            <v/>
          </cell>
          <cell r="FL43" t="str">
            <v/>
          </cell>
          <cell r="FM43" t="str">
            <v/>
          </cell>
          <cell r="FN43" t="str">
            <v/>
          </cell>
          <cell r="FO43" t="str">
            <v/>
          </cell>
          <cell r="FP43" t="str">
            <v/>
          </cell>
          <cell r="FT43" t="str">
            <v/>
          </cell>
          <cell r="FV43" t="str">
            <v/>
          </cell>
          <cell r="FX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O44" t="str">
            <v/>
          </cell>
          <cell r="S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/>
          <cell r="DX44" t="str">
            <v/>
          </cell>
          <cell r="DZ44" t="str">
            <v/>
          </cell>
          <cell r="EA44" t="str">
            <v/>
          </cell>
          <cell r="EB44" t="str">
            <v/>
          </cell>
          <cell r="EC44" t="str">
            <v/>
          </cell>
          <cell r="EG44" t="str">
            <v/>
          </cell>
          <cell r="EI44" t="str">
            <v/>
          </cell>
          <cell r="EJ44" t="str">
            <v/>
          </cell>
          <cell r="EK44" t="str">
            <v/>
          </cell>
          <cell r="EL44" t="str">
            <v/>
          </cell>
          <cell r="EM44" t="str">
            <v/>
          </cell>
          <cell r="EN44" t="str">
            <v/>
          </cell>
          <cell r="EO44" t="str">
            <v/>
          </cell>
          <cell r="EZ44" t="str">
            <v/>
          </cell>
          <cell r="FC44" t="str">
            <v/>
          </cell>
          <cell r="FD44" t="str">
            <v/>
          </cell>
          <cell r="FE44" t="str">
            <v/>
          </cell>
          <cell r="FJ44" t="str">
            <v/>
          </cell>
          <cell r="FK44" t="str">
            <v/>
          </cell>
          <cell r="FL44" t="str">
            <v/>
          </cell>
          <cell r="FM44" t="str">
            <v/>
          </cell>
          <cell r="FN44" t="str">
            <v/>
          </cell>
          <cell r="FO44" t="str">
            <v/>
          </cell>
          <cell r="FP44" t="str">
            <v/>
          </cell>
          <cell r="FT44" t="str">
            <v/>
          </cell>
          <cell r="FV44" t="str">
            <v/>
          </cell>
          <cell r="FX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O45" t="str">
            <v/>
          </cell>
          <cell r="S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/>
          <cell r="DX45" t="str">
            <v/>
          </cell>
          <cell r="DZ45" t="str">
            <v/>
          </cell>
          <cell r="EA45" t="str">
            <v/>
          </cell>
          <cell r="EB45" t="str">
            <v/>
          </cell>
          <cell r="EC45" t="str">
            <v/>
          </cell>
          <cell r="EG45" t="str">
            <v/>
          </cell>
          <cell r="EI45" t="str">
            <v/>
          </cell>
          <cell r="EJ45" t="str">
            <v/>
          </cell>
          <cell r="EK45" t="str">
            <v/>
          </cell>
          <cell r="EL45" t="str">
            <v/>
          </cell>
          <cell r="EM45" t="str">
            <v/>
          </cell>
          <cell r="EN45" t="str">
            <v/>
          </cell>
          <cell r="EO45" t="str">
            <v/>
          </cell>
          <cell r="EZ45" t="str">
            <v/>
          </cell>
          <cell r="FC45" t="str">
            <v/>
          </cell>
          <cell r="FD45" t="str">
            <v/>
          </cell>
          <cell r="FE45" t="str">
            <v/>
          </cell>
          <cell r="FJ45" t="str">
            <v/>
          </cell>
          <cell r="FK45" t="str">
            <v/>
          </cell>
          <cell r="FL45" t="str">
            <v/>
          </cell>
          <cell r="FM45" t="str">
            <v/>
          </cell>
          <cell r="FN45" t="str">
            <v/>
          </cell>
          <cell r="FO45" t="str">
            <v/>
          </cell>
          <cell r="FP45" t="str">
            <v/>
          </cell>
          <cell r="FT45" t="str">
            <v/>
          </cell>
          <cell r="FV45" t="str">
            <v/>
          </cell>
          <cell r="FX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O46" t="str">
            <v/>
          </cell>
          <cell r="S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/>
          <cell r="DX46" t="str">
            <v/>
          </cell>
          <cell r="DZ46" t="str">
            <v/>
          </cell>
          <cell r="EA46" t="str">
            <v/>
          </cell>
          <cell r="EB46" t="str">
            <v/>
          </cell>
          <cell r="EC46" t="str">
            <v/>
          </cell>
          <cell r="EG46" t="str">
            <v/>
          </cell>
          <cell r="EI46" t="str">
            <v/>
          </cell>
          <cell r="EJ46" t="str">
            <v/>
          </cell>
          <cell r="EK46" t="str">
            <v/>
          </cell>
          <cell r="EL46" t="str">
            <v/>
          </cell>
          <cell r="EM46" t="str">
            <v/>
          </cell>
          <cell r="EN46" t="str">
            <v/>
          </cell>
          <cell r="EO46" t="str">
            <v/>
          </cell>
          <cell r="EZ46" t="str">
            <v/>
          </cell>
          <cell r="FC46" t="str">
            <v/>
          </cell>
          <cell r="FD46" t="str">
            <v/>
          </cell>
          <cell r="FE46" t="str">
            <v/>
          </cell>
          <cell r="FJ46" t="str">
            <v/>
          </cell>
          <cell r="FK46" t="str">
            <v/>
          </cell>
          <cell r="FL46" t="str">
            <v/>
          </cell>
          <cell r="FM46" t="str">
            <v/>
          </cell>
          <cell r="FN46" t="str">
            <v/>
          </cell>
          <cell r="FO46" t="str">
            <v/>
          </cell>
          <cell r="FP46" t="str">
            <v/>
          </cell>
          <cell r="FT46" t="str">
            <v/>
          </cell>
          <cell r="FV46" t="str">
            <v/>
          </cell>
          <cell r="FX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O47" t="str">
            <v/>
          </cell>
          <cell r="S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/>
          <cell r="DX47" t="str">
            <v/>
          </cell>
          <cell r="DZ47" t="str">
            <v/>
          </cell>
          <cell r="EA47" t="str">
            <v/>
          </cell>
          <cell r="EB47" t="str">
            <v/>
          </cell>
          <cell r="EC47" t="str">
            <v/>
          </cell>
          <cell r="EG47" t="str">
            <v/>
          </cell>
          <cell r="EI47" t="str">
            <v/>
          </cell>
          <cell r="EJ47" t="str">
            <v/>
          </cell>
          <cell r="EK47" t="str">
            <v/>
          </cell>
          <cell r="EL47" t="str">
            <v/>
          </cell>
          <cell r="EM47" t="str">
            <v/>
          </cell>
          <cell r="EN47" t="str">
            <v/>
          </cell>
          <cell r="EO47" t="str">
            <v/>
          </cell>
          <cell r="EZ47" t="str">
            <v/>
          </cell>
          <cell r="FC47" t="str">
            <v/>
          </cell>
          <cell r="FD47" t="str">
            <v/>
          </cell>
          <cell r="FE47" t="str">
            <v/>
          </cell>
          <cell r="FJ47" t="str">
            <v/>
          </cell>
          <cell r="FK47" t="str">
            <v/>
          </cell>
          <cell r="FL47" t="str">
            <v/>
          </cell>
          <cell r="FM47" t="str">
            <v/>
          </cell>
          <cell r="FN47" t="str">
            <v/>
          </cell>
          <cell r="FO47" t="str">
            <v/>
          </cell>
          <cell r="FP47" t="str">
            <v/>
          </cell>
          <cell r="FT47" t="str">
            <v/>
          </cell>
          <cell r="FV47" t="str">
            <v/>
          </cell>
          <cell r="FX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O48" t="str">
            <v/>
          </cell>
          <cell r="S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/>
          <cell r="DX48" t="str">
            <v/>
          </cell>
          <cell r="DZ48" t="str">
            <v/>
          </cell>
          <cell r="EA48" t="str">
            <v/>
          </cell>
          <cell r="EB48" t="str">
            <v/>
          </cell>
          <cell r="EC48" t="str">
            <v/>
          </cell>
          <cell r="EG48" t="str">
            <v/>
          </cell>
          <cell r="EI48" t="str">
            <v/>
          </cell>
          <cell r="EJ48" t="str">
            <v/>
          </cell>
          <cell r="EK48" t="str">
            <v/>
          </cell>
          <cell r="EL48" t="str">
            <v/>
          </cell>
          <cell r="EM48" t="str">
            <v/>
          </cell>
          <cell r="EN48" t="str">
            <v/>
          </cell>
          <cell r="EO48" t="str">
            <v/>
          </cell>
          <cell r="EZ48" t="str">
            <v/>
          </cell>
          <cell r="FC48" t="str">
            <v/>
          </cell>
          <cell r="FD48" t="str">
            <v/>
          </cell>
          <cell r="FE48" t="str">
            <v/>
          </cell>
          <cell r="FJ48" t="str">
            <v/>
          </cell>
          <cell r="FK48" t="str">
            <v/>
          </cell>
          <cell r="FL48" t="str">
            <v/>
          </cell>
          <cell r="FM48" t="str">
            <v/>
          </cell>
          <cell r="FN48" t="str">
            <v/>
          </cell>
          <cell r="FO48" t="str">
            <v/>
          </cell>
          <cell r="FP48" t="str">
            <v/>
          </cell>
          <cell r="FT48" t="str">
            <v/>
          </cell>
          <cell r="FV48" t="str">
            <v/>
          </cell>
          <cell r="FX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O49" t="str">
            <v/>
          </cell>
          <cell r="S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/>
          <cell r="DX49" t="str">
            <v/>
          </cell>
          <cell r="DZ49" t="str">
            <v/>
          </cell>
          <cell r="EA49" t="str">
            <v/>
          </cell>
          <cell r="EB49" t="str">
            <v/>
          </cell>
          <cell r="EC49" t="str">
            <v/>
          </cell>
          <cell r="EG49" t="str">
            <v/>
          </cell>
          <cell r="EI49" t="str">
            <v/>
          </cell>
          <cell r="EJ49" t="str">
            <v/>
          </cell>
          <cell r="EK49" t="str">
            <v/>
          </cell>
          <cell r="EL49" t="str">
            <v/>
          </cell>
          <cell r="EM49" t="str">
            <v/>
          </cell>
          <cell r="EN49" t="str">
            <v/>
          </cell>
          <cell r="EO49" t="str">
            <v/>
          </cell>
          <cell r="EZ49" t="str">
            <v/>
          </cell>
          <cell r="FC49" t="str">
            <v/>
          </cell>
          <cell r="FD49" t="str">
            <v/>
          </cell>
          <cell r="FE49" t="str">
            <v/>
          </cell>
          <cell r="FJ49" t="str">
            <v/>
          </cell>
          <cell r="FK49" t="str">
            <v/>
          </cell>
          <cell r="FL49" t="str">
            <v/>
          </cell>
          <cell r="FM49" t="str">
            <v/>
          </cell>
          <cell r="FN49" t="str">
            <v/>
          </cell>
          <cell r="FO49" t="str">
            <v/>
          </cell>
          <cell r="FP49" t="str">
            <v/>
          </cell>
          <cell r="FT49" t="str">
            <v/>
          </cell>
          <cell r="FV49" t="str">
            <v/>
          </cell>
          <cell r="FX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O50" t="str">
            <v/>
          </cell>
          <cell r="S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/>
          <cell r="DX50" t="str">
            <v/>
          </cell>
          <cell r="DZ50" t="str">
            <v/>
          </cell>
          <cell r="EA50" t="str">
            <v/>
          </cell>
          <cell r="EB50" t="str">
            <v/>
          </cell>
          <cell r="EC50" t="str">
            <v/>
          </cell>
          <cell r="EG50" t="str">
            <v/>
          </cell>
          <cell r="EI50" t="str">
            <v/>
          </cell>
          <cell r="EJ50" t="str">
            <v/>
          </cell>
          <cell r="EK50" t="str">
            <v/>
          </cell>
          <cell r="EL50" t="str">
            <v/>
          </cell>
          <cell r="EM50" t="str">
            <v/>
          </cell>
          <cell r="EN50" t="str">
            <v/>
          </cell>
          <cell r="EO50" t="str">
            <v/>
          </cell>
          <cell r="EZ50" t="str">
            <v/>
          </cell>
          <cell r="FC50" t="str">
            <v/>
          </cell>
          <cell r="FD50" t="str">
            <v/>
          </cell>
          <cell r="FE50" t="str">
            <v/>
          </cell>
          <cell r="FJ50" t="str">
            <v/>
          </cell>
          <cell r="FK50" t="str">
            <v/>
          </cell>
          <cell r="FL50" t="str">
            <v/>
          </cell>
          <cell r="FM50" t="str">
            <v/>
          </cell>
          <cell r="FN50" t="str">
            <v/>
          </cell>
          <cell r="FO50" t="str">
            <v/>
          </cell>
          <cell r="FP50" t="str">
            <v/>
          </cell>
          <cell r="FT50" t="str">
            <v/>
          </cell>
          <cell r="FV50" t="str">
            <v/>
          </cell>
          <cell r="FX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O51" t="str">
            <v/>
          </cell>
          <cell r="S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/>
          <cell r="DX51" t="str">
            <v/>
          </cell>
          <cell r="DZ51" t="str">
            <v/>
          </cell>
          <cell r="EA51" t="str">
            <v/>
          </cell>
          <cell r="EB51" t="str">
            <v/>
          </cell>
          <cell r="EC51" t="str">
            <v/>
          </cell>
          <cell r="EG51" t="str">
            <v/>
          </cell>
          <cell r="EI51" t="str">
            <v/>
          </cell>
          <cell r="EJ51" t="str">
            <v/>
          </cell>
          <cell r="EK51" t="str">
            <v/>
          </cell>
          <cell r="EL51" t="str">
            <v/>
          </cell>
          <cell r="EM51" t="str">
            <v/>
          </cell>
          <cell r="EN51" t="str">
            <v/>
          </cell>
          <cell r="EO51" t="str">
            <v/>
          </cell>
          <cell r="EZ51" t="str">
            <v/>
          </cell>
          <cell r="FC51" t="str">
            <v/>
          </cell>
          <cell r="FD51" t="str">
            <v/>
          </cell>
          <cell r="FE51" t="str">
            <v/>
          </cell>
          <cell r="FJ51" t="str">
            <v/>
          </cell>
          <cell r="FK51" t="str">
            <v/>
          </cell>
          <cell r="FL51" t="str">
            <v/>
          </cell>
          <cell r="FM51" t="str">
            <v/>
          </cell>
          <cell r="FN51" t="str">
            <v/>
          </cell>
          <cell r="FO51" t="str">
            <v/>
          </cell>
          <cell r="FP51" t="str">
            <v/>
          </cell>
          <cell r="FT51" t="str">
            <v/>
          </cell>
          <cell r="FV51" t="str">
            <v/>
          </cell>
          <cell r="FX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O52" t="str">
            <v/>
          </cell>
          <cell r="S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/>
          <cell r="DX52" t="str">
            <v/>
          </cell>
          <cell r="DZ52" t="str">
            <v/>
          </cell>
          <cell r="EA52" t="str">
            <v/>
          </cell>
          <cell r="EB52" t="str">
            <v/>
          </cell>
          <cell r="EC52" t="str">
            <v/>
          </cell>
          <cell r="EG52" t="str">
            <v/>
          </cell>
          <cell r="EI52" t="str">
            <v/>
          </cell>
          <cell r="EJ52" t="str">
            <v/>
          </cell>
          <cell r="EK52" t="str">
            <v/>
          </cell>
          <cell r="EL52" t="str">
            <v/>
          </cell>
          <cell r="EM52" t="str">
            <v/>
          </cell>
          <cell r="EN52" t="str">
            <v/>
          </cell>
          <cell r="EO52" t="str">
            <v/>
          </cell>
          <cell r="EZ52" t="str">
            <v/>
          </cell>
          <cell r="FC52" t="str">
            <v/>
          </cell>
          <cell r="FD52" t="str">
            <v/>
          </cell>
          <cell r="FE52" t="str">
            <v/>
          </cell>
          <cell r="FJ52" t="str">
            <v/>
          </cell>
          <cell r="FK52" t="str">
            <v/>
          </cell>
          <cell r="FL52" t="str">
            <v/>
          </cell>
          <cell r="FM52" t="str">
            <v/>
          </cell>
          <cell r="FN52" t="str">
            <v/>
          </cell>
          <cell r="FO52" t="str">
            <v/>
          </cell>
          <cell r="FP52" t="str">
            <v/>
          </cell>
          <cell r="FT52" t="str">
            <v/>
          </cell>
          <cell r="FV52" t="str">
            <v/>
          </cell>
          <cell r="FX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O53" t="str">
            <v/>
          </cell>
          <cell r="S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/>
          <cell r="DX53" t="str">
            <v/>
          </cell>
          <cell r="DZ53" t="str">
            <v/>
          </cell>
          <cell r="EA53" t="str">
            <v/>
          </cell>
          <cell r="EB53" t="str">
            <v/>
          </cell>
          <cell r="EC53" t="str">
            <v/>
          </cell>
          <cell r="EG53" t="str">
            <v/>
          </cell>
          <cell r="EI53" t="str">
            <v/>
          </cell>
          <cell r="EJ53" t="str">
            <v/>
          </cell>
          <cell r="EK53" t="str">
            <v/>
          </cell>
          <cell r="EL53" t="str">
            <v/>
          </cell>
          <cell r="EM53" t="str">
            <v/>
          </cell>
          <cell r="EN53" t="str">
            <v/>
          </cell>
          <cell r="EO53" t="str">
            <v/>
          </cell>
          <cell r="EZ53" t="str">
            <v/>
          </cell>
          <cell r="FC53" t="str">
            <v/>
          </cell>
          <cell r="FD53" t="str">
            <v/>
          </cell>
          <cell r="FE53" t="str">
            <v/>
          </cell>
          <cell r="FJ53" t="str">
            <v/>
          </cell>
          <cell r="FK53" t="str">
            <v/>
          </cell>
          <cell r="FL53" t="str">
            <v/>
          </cell>
          <cell r="FM53" t="str">
            <v/>
          </cell>
          <cell r="FN53" t="str">
            <v/>
          </cell>
          <cell r="FO53" t="str">
            <v/>
          </cell>
          <cell r="FP53" t="str">
            <v/>
          </cell>
          <cell r="FT53" t="str">
            <v/>
          </cell>
          <cell r="FV53" t="str">
            <v/>
          </cell>
          <cell r="FX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O54" t="str">
            <v/>
          </cell>
          <cell r="S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  <cell r="DW54"/>
          <cell r="DX54" t="str">
            <v/>
          </cell>
          <cell r="DZ54" t="str">
            <v/>
          </cell>
          <cell r="EA54" t="str">
            <v/>
          </cell>
          <cell r="EB54" t="str">
            <v/>
          </cell>
          <cell r="EC54" t="str">
            <v/>
          </cell>
          <cell r="EG54" t="str">
            <v/>
          </cell>
          <cell r="EI54" t="str">
            <v/>
          </cell>
          <cell r="EJ54" t="str">
            <v/>
          </cell>
          <cell r="EK54" t="str">
            <v/>
          </cell>
          <cell r="EL54" t="str">
            <v/>
          </cell>
          <cell r="EM54" t="str">
            <v/>
          </cell>
          <cell r="EN54" t="str">
            <v/>
          </cell>
          <cell r="EO54" t="str">
            <v/>
          </cell>
          <cell r="EZ54" t="str">
            <v/>
          </cell>
          <cell r="FC54" t="str">
            <v/>
          </cell>
          <cell r="FD54" t="str">
            <v/>
          </cell>
          <cell r="FE54" t="str">
            <v/>
          </cell>
          <cell r="FJ54" t="str">
            <v/>
          </cell>
          <cell r="FK54" t="str">
            <v/>
          </cell>
          <cell r="FL54" t="str">
            <v/>
          </cell>
          <cell r="FM54" t="str">
            <v/>
          </cell>
          <cell r="FN54" t="str">
            <v/>
          </cell>
          <cell r="FO54" t="str">
            <v/>
          </cell>
          <cell r="FP54" t="str">
            <v/>
          </cell>
          <cell r="FT54" t="str">
            <v/>
          </cell>
          <cell r="FV54" t="str">
            <v/>
          </cell>
          <cell r="FX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O55" t="str">
            <v/>
          </cell>
          <cell r="S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  <cell r="DW55"/>
          <cell r="DX55" t="str">
            <v/>
          </cell>
          <cell r="DZ55" t="str">
            <v/>
          </cell>
          <cell r="EA55" t="str">
            <v/>
          </cell>
          <cell r="EB55" t="str">
            <v/>
          </cell>
          <cell r="EC55" t="str">
            <v/>
          </cell>
          <cell r="EG55" t="str">
            <v/>
          </cell>
          <cell r="EI55" t="str">
            <v/>
          </cell>
          <cell r="EJ55" t="str">
            <v/>
          </cell>
          <cell r="EK55" t="str">
            <v/>
          </cell>
          <cell r="EL55" t="str">
            <v/>
          </cell>
          <cell r="EM55" t="str">
            <v/>
          </cell>
          <cell r="EN55" t="str">
            <v/>
          </cell>
          <cell r="EO55" t="str">
            <v/>
          </cell>
          <cell r="EZ55" t="str">
            <v/>
          </cell>
          <cell r="FC55" t="str">
            <v/>
          </cell>
          <cell r="FD55" t="str">
            <v/>
          </cell>
          <cell r="FE55" t="str">
            <v/>
          </cell>
          <cell r="FJ55" t="str">
            <v/>
          </cell>
          <cell r="FK55" t="str">
            <v/>
          </cell>
          <cell r="FL55" t="str">
            <v/>
          </cell>
          <cell r="FM55" t="str">
            <v/>
          </cell>
          <cell r="FN55" t="str">
            <v/>
          </cell>
          <cell r="FO55" t="str">
            <v/>
          </cell>
          <cell r="FP55" t="str">
            <v/>
          </cell>
          <cell r="FT55" t="str">
            <v/>
          </cell>
          <cell r="FV55" t="str">
            <v/>
          </cell>
          <cell r="FX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O56" t="str">
            <v/>
          </cell>
          <cell r="S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  <cell r="DW56"/>
          <cell r="DX56" t="str">
            <v/>
          </cell>
          <cell r="DZ56" t="str">
            <v/>
          </cell>
          <cell r="EA56" t="str">
            <v/>
          </cell>
          <cell r="EB56" t="str">
            <v/>
          </cell>
          <cell r="EC56" t="str">
            <v/>
          </cell>
          <cell r="EG56" t="str">
            <v/>
          </cell>
          <cell r="EI56" t="str">
            <v/>
          </cell>
          <cell r="EJ56" t="str">
            <v/>
          </cell>
          <cell r="EK56" t="str">
            <v/>
          </cell>
          <cell r="EL56" t="str">
            <v/>
          </cell>
          <cell r="EM56" t="str">
            <v/>
          </cell>
          <cell r="EN56" t="str">
            <v/>
          </cell>
          <cell r="EO56" t="str">
            <v/>
          </cell>
          <cell r="EZ56" t="str">
            <v/>
          </cell>
          <cell r="FC56" t="str">
            <v/>
          </cell>
          <cell r="FD56" t="str">
            <v/>
          </cell>
          <cell r="FE56" t="str">
            <v/>
          </cell>
          <cell r="FJ56" t="str">
            <v/>
          </cell>
          <cell r="FK56" t="str">
            <v/>
          </cell>
          <cell r="FL56" t="str">
            <v/>
          </cell>
          <cell r="FM56" t="str">
            <v/>
          </cell>
          <cell r="FN56" t="str">
            <v/>
          </cell>
          <cell r="FO56" t="str">
            <v/>
          </cell>
          <cell r="FP56" t="str">
            <v/>
          </cell>
          <cell r="FT56" t="str">
            <v/>
          </cell>
          <cell r="FV56" t="str">
            <v/>
          </cell>
          <cell r="FX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O57" t="str">
            <v/>
          </cell>
          <cell r="S57" t="str">
            <v/>
          </cell>
          <cell r="DR57" t="str">
            <v/>
          </cell>
          <cell r="DS57" t="str">
            <v/>
          </cell>
          <cell r="DT57" t="str">
            <v/>
          </cell>
          <cell r="DU57" t="str">
            <v/>
          </cell>
          <cell r="DV57" t="str">
            <v/>
          </cell>
          <cell r="DW57"/>
          <cell r="DX57" t="str">
            <v/>
          </cell>
          <cell r="DZ57" t="str">
            <v/>
          </cell>
          <cell r="EA57" t="str">
            <v/>
          </cell>
          <cell r="EB57" t="str">
            <v/>
          </cell>
          <cell r="EC57" t="str">
            <v/>
          </cell>
          <cell r="EG57" t="str">
            <v/>
          </cell>
          <cell r="EI57" t="str">
            <v/>
          </cell>
          <cell r="EJ57" t="str">
            <v/>
          </cell>
          <cell r="EK57" t="str">
            <v/>
          </cell>
          <cell r="EL57" t="str">
            <v/>
          </cell>
          <cell r="EM57" t="str">
            <v/>
          </cell>
          <cell r="EN57" t="str">
            <v/>
          </cell>
          <cell r="EO57" t="str">
            <v/>
          </cell>
          <cell r="EZ57" t="str">
            <v/>
          </cell>
          <cell r="FC57" t="str">
            <v/>
          </cell>
          <cell r="FD57" t="str">
            <v/>
          </cell>
          <cell r="FE57" t="str">
            <v/>
          </cell>
          <cell r="FJ57" t="str">
            <v/>
          </cell>
          <cell r="FK57" t="str">
            <v/>
          </cell>
          <cell r="FL57" t="str">
            <v/>
          </cell>
          <cell r="FM57" t="str">
            <v/>
          </cell>
          <cell r="FN57" t="str">
            <v/>
          </cell>
          <cell r="FO57" t="str">
            <v/>
          </cell>
          <cell r="FP57" t="str">
            <v/>
          </cell>
          <cell r="FT57" t="str">
            <v/>
          </cell>
          <cell r="FV57" t="str">
            <v/>
          </cell>
          <cell r="FX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O58" t="str">
            <v/>
          </cell>
          <cell r="S58" t="str">
            <v/>
          </cell>
          <cell r="DR58" t="str">
            <v/>
          </cell>
          <cell r="DS58" t="str">
            <v/>
          </cell>
          <cell r="DT58" t="str">
            <v/>
          </cell>
          <cell r="DU58" t="str">
            <v/>
          </cell>
          <cell r="DV58" t="str">
            <v/>
          </cell>
          <cell r="DW58"/>
          <cell r="DX58" t="str">
            <v/>
          </cell>
          <cell r="DZ58" t="str">
            <v/>
          </cell>
          <cell r="EA58" t="str">
            <v/>
          </cell>
          <cell r="EB58" t="str">
            <v/>
          </cell>
          <cell r="EC58" t="str">
            <v/>
          </cell>
          <cell r="EG58" t="str">
            <v/>
          </cell>
          <cell r="EI58" t="str">
            <v/>
          </cell>
          <cell r="EJ58" t="str">
            <v/>
          </cell>
          <cell r="EK58" t="str">
            <v/>
          </cell>
          <cell r="EL58" t="str">
            <v/>
          </cell>
          <cell r="EM58" t="str">
            <v/>
          </cell>
          <cell r="EN58" t="str">
            <v/>
          </cell>
          <cell r="EO58" t="str">
            <v/>
          </cell>
          <cell r="EZ58" t="str">
            <v/>
          </cell>
          <cell r="FC58" t="str">
            <v/>
          </cell>
          <cell r="FD58" t="str">
            <v/>
          </cell>
          <cell r="FE58" t="str">
            <v/>
          </cell>
          <cell r="FJ58" t="str">
            <v/>
          </cell>
          <cell r="FK58" t="str">
            <v/>
          </cell>
          <cell r="FL58" t="str">
            <v/>
          </cell>
          <cell r="FM58" t="str">
            <v/>
          </cell>
          <cell r="FN58" t="str">
            <v/>
          </cell>
          <cell r="FO58" t="str">
            <v/>
          </cell>
          <cell r="FP58" t="str">
            <v/>
          </cell>
          <cell r="FT58" t="str">
            <v/>
          </cell>
          <cell r="FV58" t="str">
            <v/>
          </cell>
          <cell r="FX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O59" t="str">
            <v/>
          </cell>
          <cell r="S59" t="str">
            <v/>
          </cell>
          <cell r="DR59" t="str">
            <v/>
          </cell>
          <cell r="DS59" t="str">
            <v/>
          </cell>
          <cell r="DT59" t="str">
            <v/>
          </cell>
          <cell r="DU59" t="str">
            <v/>
          </cell>
          <cell r="DV59" t="str">
            <v/>
          </cell>
          <cell r="DW59"/>
          <cell r="DX59" t="str">
            <v/>
          </cell>
          <cell r="DZ59" t="str">
            <v/>
          </cell>
          <cell r="EA59" t="str">
            <v/>
          </cell>
          <cell r="EB59" t="str">
            <v/>
          </cell>
          <cell r="EC59" t="str">
            <v/>
          </cell>
          <cell r="EG59" t="str">
            <v/>
          </cell>
          <cell r="EI59" t="str">
            <v/>
          </cell>
          <cell r="EJ59" t="str">
            <v/>
          </cell>
          <cell r="EK59" t="str">
            <v/>
          </cell>
          <cell r="EL59" t="str">
            <v/>
          </cell>
          <cell r="EM59" t="str">
            <v/>
          </cell>
          <cell r="EN59" t="str">
            <v/>
          </cell>
          <cell r="EO59" t="str">
            <v/>
          </cell>
          <cell r="EZ59" t="str">
            <v/>
          </cell>
          <cell r="FC59" t="str">
            <v/>
          </cell>
          <cell r="FD59" t="str">
            <v/>
          </cell>
          <cell r="FE59" t="str">
            <v/>
          </cell>
          <cell r="FJ59" t="str">
            <v/>
          </cell>
          <cell r="FK59" t="str">
            <v/>
          </cell>
          <cell r="FL59" t="str">
            <v/>
          </cell>
          <cell r="FM59" t="str">
            <v/>
          </cell>
          <cell r="FN59" t="str">
            <v/>
          </cell>
          <cell r="FO59" t="str">
            <v/>
          </cell>
          <cell r="FP59" t="str">
            <v/>
          </cell>
          <cell r="FT59" t="str">
            <v/>
          </cell>
          <cell r="FV59" t="str">
            <v/>
          </cell>
          <cell r="FX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O60" t="str">
            <v/>
          </cell>
          <cell r="S60" t="str">
            <v/>
          </cell>
          <cell r="DR60" t="str">
            <v/>
          </cell>
          <cell r="DS60" t="str">
            <v/>
          </cell>
          <cell r="DT60" t="str">
            <v/>
          </cell>
          <cell r="DU60" t="str">
            <v/>
          </cell>
          <cell r="DV60" t="str">
            <v/>
          </cell>
          <cell r="DW60"/>
          <cell r="DX60" t="str">
            <v/>
          </cell>
          <cell r="DZ60" t="str">
            <v/>
          </cell>
          <cell r="EA60" t="str">
            <v/>
          </cell>
          <cell r="EB60" t="str">
            <v/>
          </cell>
          <cell r="EC60" t="str">
            <v/>
          </cell>
          <cell r="EG60" t="str">
            <v/>
          </cell>
          <cell r="EI60" t="str">
            <v/>
          </cell>
          <cell r="EJ60" t="str">
            <v/>
          </cell>
          <cell r="EK60" t="str">
            <v/>
          </cell>
          <cell r="EL60" t="str">
            <v/>
          </cell>
          <cell r="EM60" t="str">
            <v/>
          </cell>
          <cell r="EN60" t="str">
            <v/>
          </cell>
          <cell r="EO60" t="str">
            <v/>
          </cell>
          <cell r="EZ60" t="str">
            <v/>
          </cell>
          <cell r="FC60" t="str">
            <v/>
          </cell>
          <cell r="FD60" t="str">
            <v/>
          </cell>
          <cell r="FE60" t="str">
            <v/>
          </cell>
          <cell r="FJ60" t="str">
            <v/>
          </cell>
          <cell r="FK60" t="str">
            <v/>
          </cell>
          <cell r="FL60" t="str">
            <v/>
          </cell>
          <cell r="FM60" t="str">
            <v/>
          </cell>
          <cell r="FN60" t="str">
            <v/>
          </cell>
          <cell r="FO60" t="str">
            <v/>
          </cell>
          <cell r="FP60" t="str">
            <v/>
          </cell>
          <cell r="FT60" t="str">
            <v/>
          </cell>
          <cell r="FV60" t="str">
            <v/>
          </cell>
          <cell r="FX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O61" t="str">
            <v/>
          </cell>
          <cell r="S61" t="str">
            <v/>
          </cell>
          <cell r="DR61" t="str">
            <v/>
          </cell>
          <cell r="DS61" t="str">
            <v/>
          </cell>
          <cell r="DT61" t="str">
            <v/>
          </cell>
          <cell r="DU61" t="str">
            <v/>
          </cell>
          <cell r="DV61" t="str">
            <v/>
          </cell>
          <cell r="DW61"/>
          <cell r="DX61" t="str">
            <v/>
          </cell>
          <cell r="DZ61" t="str">
            <v/>
          </cell>
          <cell r="EA61" t="str">
            <v/>
          </cell>
          <cell r="EB61" t="str">
            <v/>
          </cell>
          <cell r="EC61" t="str">
            <v/>
          </cell>
          <cell r="EG61" t="str">
            <v/>
          </cell>
          <cell r="EI61" t="str">
            <v/>
          </cell>
          <cell r="EJ61" t="str">
            <v/>
          </cell>
          <cell r="EK61" t="str">
            <v/>
          </cell>
          <cell r="EL61" t="str">
            <v/>
          </cell>
          <cell r="EM61" t="str">
            <v/>
          </cell>
          <cell r="EN61" t="str">
            <v/>
          </cell>
          <cell r="EO61" t="str">
            <v/>
          </cell>
          <cell r="EZ61" t="str">
            <v/>
          </cell>
          <cell r="FC61" t="str">
            <v/>
          </cell>
          <cell r="FD61" t="str">
            <v/>
          </cell>
          <cell r="FE61" t="str">
            <v/>
          </cell>
          <cell r="FJ61" t="str">
            <v/>
          </cell>
          <cell r="FK61" t="str">
            <v/>
          </cell>
          <cell r="FL61" t="str">
            <v/>
          </cell>
          <cell r="FM61" t="str">
            <v/>
          </cell>
          <cell r="FN61" t="str">
            <v/>
          </cell>
          <cell r="FO61" t="str">
            <v/>
          </cell>
          <cell r="FP61" t="str">
            <v/>
          </cell>
          <cell r="FT61" t="str">
            <v/>
          </cell>
          <cell r="FV61" t="str">
            <v/>
          </cell>
          <cell r="FX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O62" t="str">
            <v/>
          </cell>
          <cell r="S62" t="str">
            <v/>
          </cell>
          <cell r="DR62" t="str">
            <v/>
          </cell>
          <cell r="DS62" t="str">
            <v/>
          </cell>
          <cell r="DT62" t="str">
            <v/>
          </cell>
          <cell r="DU62" t="str">
            <v/>
          </cell>
          <cell r="DV62" t="str">
            <v/>
          </cell>
          <cell r="DW62"/>
          <cell r="DX62" t="str">
            <v/>
          </cell>
          <cell r="DZ62" t="str">
            <v/>
          </cell>
          <cell r="EA62" t="str">
            <v/>
          </cell>
          <cell r="EB62" t="str">
            <v/>
          </cell>
          <cell r="EC62" t="str">
            <v/>
          </cell>
          <cell r="EG62" t="str">
            <v/>
          </cell>
          <cell r="EI62" t="str">
            <v/>
          </cell>
          <cell r="EJ62" t="str">
            <v/>
          </cell>
          <cell r="EK62" t="str">
            <v/>
          </cell>
          <cell r="EL62" t="str">
            <v/>
          </cell>
          <cell r="EM62" t="str">
            <v/>
          </cell>
          <cell r="EN62" t="str">
            <v/>
          </cell>
          <cell r="EO62" t="str">
            <v/>
          </cell>
          <cell r="EZ62" t="str">
            <v/>
          </cell>
          <cell r="FC62" t="str">
            <v/>
          </cell>
          <cell r="FD62" t="str">
            <v/>
          </cell>
          <cell r="FE62" t="str">
            <v/>
          </cell>
          <cell r="FJ62" t="str">
            <v/>
          </cell>
          <cell r="FK62" t="str">
            <v/>
          </cell>
          <cell r="FL62" t="str">
            <v/>
          </cell>
          <cell r="FM62" t="str">
            <v/>
          </cell>
          <cell r="FN62" t="str">
            <v/>
          </cell>
          <cell r="FO62" t="str">
            <v/>
          </cell>
          <cell r="FP62" t="str">
            <v/>
          </cell>
          <cell r="FT62" t="str">
            <v/>
          </cell>
          <cell r="FV62" t="str">
            <v/>
          </cell>
          <cell r="FX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O63" t="str">
            <v/>
          </cell>
          <cell r="S63" t="str">
            <v/>
          </cell>
          <cell r="DR63" t="str">
            <v/>
          </cell>
          <cell r="DS63" t="str">
            <v/>
          </cell>
          <cell r="DT63" t="str">
            <v/>
          </cell>
          <cell r="DU63" t="str">
            <v/>
          </cell>
          <cell r="DV63" t="str">
            <v/>
          </cell>
          <cell r="DW63"/>
          <cell r="DX63" t="str">
            <v/>
          </cell>
          <cell r="DZ63" t="str">
            <v/>
          </cell>
          <cell r="EA63" t="str">
            <v/>
          </cell>
          <cell r="EB63" t="str">
            <v/>
          </cell>
          <cell r="EC63" t="str">
            <v/>
          </cell>
          <cell r="EG63" t="str">
            <v/>
          </cell>
          <cell r="EI63" t="str">
            <v/>
          </cell>
          <cell r="EJ63" t="str">
            <v/>
          </cell>
          <cell r="EK63" t="str">
            <v/>
          </cell>
          <cell r="EL63" t="str">
            <v/>
          </cell>
          <cell r="EM63" t="str">
            <v/>
          </cell>
          <cell r="EN63" t="str">
            <v/>
          </cell>
          <cell r="EO63" t="str">
            <v/>
          </cell>
          <cell r="EZ63" t="str">
            <v/>
          </cell>
          <cell r="FC63" t="str">
            <v/>
          </cell>
          <cell r="FD63" t="str">
            <v/>
          </cell>
          <cell r="FE63" t="str">
            <v/>
          </cell>
          <cell r="FJ63" t="str">
            <v/>
          </cell>
          <cell r="FK63" t="str">
            <v/>
          </cell>
          <cell r="FL63" t="str">
            <v/>
          </cell>
          <cell r="FM63" t="str">
            <v/>
          </cell>
          <cell r="FN63" t="str">
            <v/>
          </cell>
          <cell r="FO63" t="str">
            <v/>
          </cell>
          <cell r="FP63" t="str">
            <v/>
          </cell>
          <cell r="FT63" t="str">
            <v/>
          </cell>
          <cell r="FV63" t="str">
            <v/>
          </cell>
          <cell r="FX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O64" t="str">
            <v/>
          </cell>
          <cell r="S64" t="str">
            <v/>
          </cell>
          <cell r="DR64" t="str">
            <v/>
          </cell>
          <cell r="DS64" t="str">
            <v/>
          </cell>
          <cell r="DT64" t="str">
            <v/>
          </cell>
          <cell r="DU64" t="str">
            <v/>
          </cell>
          <cell r="DV64" t="str">
            <v/>
          </cell>
          <cell r="DW64"/>
          <cell r="DX64" t="str">
            <v/>
          </cell>
          <cell r="DZ64" t="str">
            <v/>
          </cell>
          <cell r="EA64" t="str">
            <v/>
          </cell>
          <cell r="EB64" t="str">
            <v/>
          </cell>
          <cell r="EC64" t="str">
            <v/>
          </cell>
          <cell r="EG64" t="str">
            <v/>
          </cell>
          <cell r="EI64" t="str">
            <v/>
          </cell>
          <cell r="EJ64" t="str">
            <v/>
          </cell>
          <cell r="EK64" t="str">
            <v/>
          </cell>
          <cell r="EL64" t="str">
            <v/>
          </cell>
          <cell r="EM64" t="str">
            <v/>
          </cell>
          <cell r="EN64" t="str">
            <v/>
          </cell>
          <cell r="EO64" t="str">
            <v/>
          </cell>
          <cell r="EZ64" t="str">
            <v/>
          </cell>
          <cell r="FC64" t="str">
            <v/>
          </cell>
          <cell r="FD64" t="str">
            <v/>
          </cell>
          <cell r="FE64" t="str">
            <v/>
          </cell>
          <cell r="FJ64" t="str">
            <v/>
          </cell>
          <cell r="FK64" t="str">
            <v/>
          </cell>
          <cell r="FL64" t="str">
            <v/>
          </cell>
          <cell r="FM64" t="str">
            <v/>
          </cell>
          <cell r="FN64" t="str">
            <v/>
          </cell>
          <cell r="FO64" t="str">
            <v/>
          </cell>
          <cell r="FP64" t="str">
            <v/>
          </cell>
          <cell r="FT64" t="str">
            <v/>
          </cell>
          <cell r="FV64" t="str">
            <v/>
          </cell>
          <cell r="FX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O65" t="str">
            <v/>
          </cell>
          <cell r="S65" t="str">
            <v/>
          </cell>
          <cell r="DR65" t="str">
            <v/>
          </cell>
          <cell r="DS65" t="str">
            <v/>
          </cell>
          <cell r="DT65" t="str">
            <v/>
          </cell>
          <cell r="DU65" t="str">
            <v/>
          </cell>
          <cell r="DV65" t="str">
            <v/>
          </cell>
          <cell r="DW65"/>
          <cell r="DX65" t="str">
            <v/>
          </cell>
          <cell r="DZ65" t="str">
            <v/>
          </cell>
          <cell r="EA65" t="str">
            <v/>
          </cell>
          <cell r="EB65" t="str">
            <v/>
          </cell>
          <cell r="EC65" t="str">
            <v/>
          </cell>
          <cell r="EG65" t="str">
            <v/>
          </cell>
          <cell r="EI65" t="str">
            <v/>
          </cell>
          <cell r="EJ65" t="str">
            <v/>
          </cell>
          <cell r="EK65" t="str">
            <v/>
          </cell>
          <cell r="EL65" t="str">
            <v/>
          </cell>
          <cell r="EM65" t="str">
            <v/>
          </cell>
          <cell r="EN65" t="str">
            <v/>
          </cell>
          <cell r="EO65" t="str">
            <v/>
          </cell>
          <cell r="EZ65" t="str">
            <v/>
          </cell>
          <cell r="FC65" t="str">
            <v/>
          </cell>
          <cell r="FD65" t="str">
            <v/>
          </cell>
          <cell r="FE65" t="str">
            <v/>
          </cell>
          <cell r="FJ65" t="str">
            <v/>
          </cell>
          <cell r="FK65" t="str">
            <v/>
          </cell>
          <cell r="FL65" t="str">
            <v/>
          </cell>
          <cell r="FM65" t="str">
            <v/>
          </cell>
          <cell r="FN65" t="str">
            <v/>
          </cell>
          <cell r="FO65" t="str">
            <v/>
          </cell>
          <cell r="FP65" t="str">
            <v/>
          </cell>
          <cell r="FT65" t="str">
            <v/>
          </cell>
          <cell r="FV65" t="str">
            <v/>
          </cell>
          <cell r="FX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O66" t="str">
            <v/>
          </cell>
          <cell r="S66" t="str">
            <v/>
          </cell>
          <cell r="DR66" t="str">
            <v/>
          </cell>
          <cell r="DS66" t="str">
            <v/>
          </cell>
          <cell r="DT66" t="str">
            <v/>
          </cell>
          <cell r="DU66" t="str">
            <v/>
          </cell>
          <cell r="DV66" t="str">
            <v/>
          </cell>
          <cell r="DW66"/>
          <cell r="DX66" t="str">
            <v/>
          </cell>
          <cell r="DZ66" t="str">
            <v/>
          </cell>
          <cell r="EA66" t="str">
            <v/>
          </cell>
          <cell r="EB66" t="str">
            <v/>
          </cell>
          <cell r="EC66" t="str">
            <v/>
          </cell>
          <cell r="EG66" t="str">
            <v/>
          </cell>
          <cell r="EI66" t="str">
            <v/>
          </cell>
          <cell r="EJ66" t="str">
            <v/>
          </cell>
          <cell r="EK66" t="str">
            <v/>
          </cell>
          <cell r="EL66" t="str">
            <v/>
          </cell>
          <cell r="EM66" t="str">
            <v/>
          </cell>
          <cell r="EN66" t="str">
            <v/>
          </cell>
          <cell r="EO66" t="str">
            <v/>
          </cell>
          <cell r="EZ66" t="str">
            <v/>
          </cell>
          <cell r="FC66" t="str">
            <v/>
          </cell>
          <cell r="FD66" t="str">
            <v/>
          </cell>
          <cell r="FE66" t="str">
            <v/>
          </cell>
          <cell r="FJ66" t="str">
            <v/>
          </cell>
          <cell r="FK66" t="str">
            <v/>
          </cell>
          <cell r="FL66" t="str">
            <v/>
          </cell>
          <cell r="FM66" t="str">
            <v/>
          </cell>
          <cell r="FN66" t="str">
            <v/>
          </cell>
          <cell r="FO66" t="str">
            <v/>
          </cell>
          <cell r="FP66" t="str">
            <v/>
          </cell>
          <cell r="FT66" t="str">
            <v/>
          </cell>
          <cell r="FV66" t="str">
            <v/>
          </cell>
          <cell r="FX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O67" t="str">
            <v/>
          </cell>
          <cell r="S67" t="str">
            <v/>
          </cell>
          <cell r="DR67" t="str">
            <v/>
          </cell>
          <cell r="DS67" t="str">
            <v/>
          </cell>
          <cell r="DT67" t="str">
            <v/>
          </cell>
          <cell r="DU67" t="str">
            <v/>
          </cell>
          <cell r="DV67" t="str">
            <v/>
          </cell>
          <cell r="DW67"/>
          <cell r="DX67" t="str">
            <v/>
          </cell>
          <cell r="DZ67" t="str">
            <v/>
          </cell>
          <cell r="EA67" t="str">
            <v/>
          </cell>
          <cell r="EB67" t="str">
            <v/>
          </cell>
          <cell r="EC67" t="str">
            <v/>
          </cell>
          <cell r="EG67" t="str">
            <v/>
          </cell>
          <cell r="EI67" t="str">
            <v/>
          </cell>
          <cell r="EJ67" t="str">
            <v/>
          </cell>
          <cell r="EK67" t="str">
            <v/>
          </cell>
          <cell r="EL67" t="str">
            <v/>
          </cell>
          <cell r="EM67" t="str">
            <v/>
          </cell>
          <cell r="EN67" t="str">
            <v/>
          </cell>
          <cell r="EO67" t="str">
            <v/>
          </cell>
          <cell r="EZ67" t="str">
            <v/>
          </cell>
          <cell r="FC67" t="str">
            <v/>
          </cell>
          <cell r="FD67" t="str">
            <v/>
          </cell>
          <cell r="FE67" t="str">
            <v/>
          </cell>
          <cell r="FJ67" t="str">
            <v/>
          </cell>
          <cell r="FK67" t="str">
            <v/>
          </cell>
          <cell r="FL67" t="str">
            <v/>
          </cell>
          <cell r="FM67" t="str">
            <v/>
          </cell>
          <cell r="FN67" t="str">
            <v/>
          </cell>
          <cell r="FO67" t="str">
            <v/>
          </cell>
          <cell r="FP67" t="str">
            <v/>
          </cell>
          <cell r="FT67" t="str">
            <v/>
          </cell>
          <cell r="FV67" t="str">
            <v/>
          </cell>
          <cell r="FX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O68" t="str">
            <v/>
          </cell>
          <cell r="S68" t="str">
            <v/>
          </cell>
          <cell r="DR68" t="str">
            <v/>
          </cell>
          <cell r="DS68" t="str">
            <v/>
          </cell>
          <cell r="DT68" t="str">
            <v/>
          </cell>
          <cell r="DU68" t="str">
            <v/>
          </cell>
          <cell r="DV68" t="str">
            <v/>
          </cell>
          <cell r="DW68"/>
          <cell r="DX68" t="str">
            <v/>
          </cell>
          <cell r="DZ68" t="str">
            <v/>
          </cell>
          <cell r="EA68" t="str">
            <v/>
          </cell>
          <cell r="EB68" t="str">
            <v/>
          </cell>
          <cell r="EC68" t="str">
            <v/>
          </cell>
          <cell r="EG68" t="str">
            <v/>
          </cell>
          <cell r="EI68" t="str">
            <v/>
          </cell>
          <cell r="EJ68" t="str">
            <v/>
          </cell>
          <cell r="EK68" t="str">
            <v/>
          </cell>
          <cell r="EL68" t="str">
            <v/>
          </cell>
          <cell r="EM68" t="str">
            <v/>
          </cell>
          <cell r="EN68" t="str">
            <v/>
          </cell>
          <cell r="EO68" t="str">
            <v/>
          </cell>
          <cell r="EZ68" t="str">
            <v/>
          </cell>
          <cell r="FC68" t="str">
            <v/>
          </cell>
          <cell r="FD68" t="str">
            <v/>
          </cell>
          <cell r="FE68" t="str">
            <v/>
          </cell>
          <cell r="FJ68" t="str">
            <v/>
          </cell>
          <cell r="FK68" t="str">
            <v/>
          </cell>
          <cell r="FL68" t="str">
            <v/>
          </cell>
          <cell r="FM68" t="str">
            <v/>
          </cell>
          <cell r="FN68" t="str">
            <v/>
          </cell>
          <cell r="FO68" t="str">
            <v/>
          </cell>
          <cell r="FP68" t="str">
            <v/>
          </cell>
          <cell r="FT68" t="str">
            <v/>
          </cell>
          <cell r="FV68" t="str">
            <v/>
          </cell>
          <cell r="FX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O69" t="str">
            <v/>
          </cell>
          <cell r="S69" t="str">
            <v/>
          </cell>
          <cell r="DR69" t="str">
            <v/>
          </cell>
          <cell r="DS69" t="str">
            <v/>
          </cell>
          <cell r="DT69" t="str">
            <v/>
          </cell>
          <cell r="DU69" t="str">
            <v/>
          </cell>
          <cell r="DV69" t="str">
            <v/>
          </cell>
          <cell r="DW69"/>
          <cell r="DX69" t="str">
            <v/>
          </cell>
          <cell r="DZ69" t="str">
            <v/>
          </cell>
          <cell r="EA69" t="str">
            <v/>
          </cell>
          <cell r="EB69" t="str">
            <v/>
          </cell>
          <cell r="EC69" t="str">
            <v/>
          </cell>
          <cell r="EG69" t="str">
            <v/>
          </cell>
          <cell r="EI69" t="str">
            <v/>
          </cell>
          <cell r="EJ69" t="str">
            <v/>
          </cell>
          <cell r="EK69" t="str">
            <v/>
          </cell>
          <cell r="EL69" t="str">
            <v/>
          </cell>
          <cell r="EM69" t="str">
            <v/>
          </cell>
          <cell r="EN69" t="str">
            <v/>
          </cell>
          <cell r="EO69" t="str">
            <v/>
          </cell>
          <cell r="EZ69" t="str">
            <v/>
          </cell>
          <cell r="FC69" t="str">
            <v/>
          </cell>
          <cell r="FD69" t="str">
            <v/>
          </cell>
          <cell r="FE69" t="str">
            <v/>
          </cell>
          <cell r="FJ69" t="str">
            <v/>
          </cell>
          <cell r="FK69" t="str">
            <v/>
          </cell>
          <cell r="FL69" t="str">
            <v/>
          </cell>
          <cell r="FM69" t="str">
            <v/>
          </cell>
          <cell r="FN69" t="str">
            <v/>
          </cell>
          <cell r="FO69" t="str">
            <v/>
          </cell>
          <cell r="FP69" t="str">
            <v/>
          </cell>
          <cell r="FT69" t="str">
            <v/>
          </cell>
          <cell r="FV69" t="str">
            <v/>
          </cell>
          <cell r="FX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O70" t="str">
            <v/>
          </cell>
          <cell r="S70" t="str">
            <v/>
          </cell>
          <cell r="DR70" t="str">
            <v/>
          </cell>
          <cell r="DS70" t="str">
            <v/>
          </cell>
          <cell r="DT70" t="str">
            <v/>
          </cell>
          <cell r="DU70" t="str">
            <v/>
          </cell>
          <cell r="DV70" t="str">
            <v/>
          </cell>
          <cell r="DW70"/>
          <cell r="DX70" t="str">
            <v/>
          </cell>
          <cell r="DZ70" t="str">
            <v/>
          </cell>
          <cell r="EA70" t="str">
            <v/>
          </cell>
          <cell r="EB70" t="str">
            <v/>
          </cell>
          <cell r="EC70" t="str">
            <v/>
          </cell>
          <cell r="EG70" t="str">
            <v/>
          </cell>
          <cell r="EI70" t="str">
            <v/>
          </cell>
          <cell r="EJ70" t="str">
            <v/>
          </cell>
          <cell r="EK70" t="str">
            <v/>
          </cell>
          <cell r="EL70" t="str">
            <v/>
          </cell>
          <cell r="EM70" t="str">
            <v/>
          </cell>
          <cell r="EN70" t="str">
            <v/>
          </cell>
          <cell r="EO70" t="str">
            <v/>
          </cell>
          <cell r="EZ70" t="str">
            <v/>
          </cell>
          <cell r="FC70" t="str">
            <v/>
          </cell>
          <cell r="FD70" t="str">
            <v/>
          </cell>
          <cell r="FE70" t="str">
            <v/>
          </cell>
          <cell r="FJ70" t="str">
            <v/>
          </cell>
          <cell r="FK70" t="str">
            <v/>
          </cell>
          <cell r="FL70" t="str">
            <v/>
          </cell>
          <cell r="FM70" t="str">
            <v/>
          </cell>
          <cell r="FN70" t="str">
            <v/>
          </cell>
          <cell r="FO70" t="str">
            <v/>
          </cell>
          <cell r="FP70" t="str">
            <v/>
          </cell>
          <cell r="FT70" t="str">
            <v/>
          </cell>
          <cell r="FV70" t="str">
            <v/>
          </cell>
          <cell r="FX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O71" t="str">
            <v/>
          </cell>
          <cell r="S71" t="str">
            <v/>
          </cell>
          <cell r="DR71" t="str">
            <v/>
          </cell>
          <cell r="DS71" t="str">
            <v/>
          </cell>
          <cell r="DT71" t="str">
            <v/>
          </cell>
          <cell r="DU71" t="str">
            <v/>
          </cell>
          <cell r="DV71" t="str">
            <v/>
          </cell>
          <cell r="DW71"/>
          <cell r="DX71" t="str">
            <v/>
          </cell>
          <cell r="DZ71" t="str">
            <v/>
          </cell>
          <cell r="EA71" t="str">
            <v/>
          </cell>
          <cell r="EB71" t="str">
            <v/>
          </cell>
          <cell r="EC71" t="str">
            <v/>
          </cell>
          <cell r="EG71" t="str">
            <v/>
          </cell>
          <cell r="EI71" t="str">
            <v/>
          </cell>
          <cell r="EJ71" t="str">
            <v/>
          </cell>
          <cell r="EK71" t="str">
            <v/>
          </cell>
          <cell r="EL71" t="str">
            <v/>
          </cell>
          <cell r="EM71" t="str">
            <v/>
          </cell>
          <cell r="EN71" t="str">
            <v/>
          </cell>
          <cell r="EO71" t="str">
            <v/>
          </cell>
          <cell r="EZ71" t="str">
            <v/>
          </cell>
          <cell r="FC71" t="str">
            <v/>
          </cell>
          <cell r="FD71" t="str">
            <v/>
          </cell>
          <cell r="FE71" t="str">
            <v/>
          </cell>
          <cell r="FJ71" t="str">
            <v/>
          </cell>
          <cell r="FK71" t="str">
            <v/>
          </cell>
          <cell r="FL71" t="str">
            <v/>
          </cell>
          <cell r="FM71" t="str">
            <v/>
          </cell>
          <cell r="FN71" t="str">
            <v/>
          </cell>
          <cell r="FO71" t="str">
            <v/>
          </cell>
          <cell r="FP71" t="str">
            <v/>
          </cell>
          <cell r="FT71" t="str">
            <v/>
          </cell>
          <cell r="FV71" t="str">
            <v/>
          </cell>
          <cell r="FX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O72" t="str">
            <v/>
          </cell>
          <cell r="S72" t="str">
            <v/>
          </cell>
          <cell r="DR72" t="str">
            <v/>
          </cell>
          <cell r="DS72" t="str">
            <v/>
          </cell>
          <cell r="DT72" t="str">
            <v/>
          </cell>
          <cell r="DU72" t="str">
            <v/>
          </cell>
          <cell r="DV72" t="str">
            <v/>
          </cell>
          <cell r="DW72"/>
          <cell r="DX72" t="str">
            <v/>
          </cell>
          <cell r="DZ72" t="str">
            <v/>
          </cell>
          <cell r="EA72" t="str">
            <v/>
          </cell>
          <cell r="EB72" t="str">
            <v/>
          </cell>
          <cell r="EC72" t="str">
            <v/>
          </cell>
          <cell r="EG72" t="str">
            <v/>
          </cell>
          <cell r="EI72" t="str">
            <v/>
          </cell>
          <cell r="EJ72" t="str">
            <v/>
          </cell>
          <cell r="EK72" t="str">
            <v/>
          </cell>
          <cell r="EL72" t="str">
            <v/>
          </cell>
          <cell r="EM72" t="str">
            <v/>
          </cell>
          <cell r="EN72" t="str">
            <v/>
          </cell>
          <cell r="EO72" t="str">
            <v/>
          </cell>
          <cell r="EZ72" t="str">
            <v/>
          </cell>
          <cell r="FC72" t="str">
            <v/>
          </cell>
          <cell r="FD72" t="str">
            <v/>
          </cell>
          <cell r="FE72" t="str">
            <v/>
          </cell>
          <cell r="FJ72" t="str">
            <v/>
          </cell>
          <cell r="FK72" t="str">
            <v/>
          </cell>
          <cell r="FL72" t="str">
            <v/>
          </cell>
          <cell r="FM72" t="str">
            <v/>
          </cell>
          <cell r="FN72" t="str">
            <v/>
          </cell>
          <cell r="FO72" t="str">
            <v/>
          </cell>
          <cell r="FP72" t="str">
            <v/>
          </cell>
          <cell r="FT72" t="str">
            <v/>
          </cell>
          <cell r="FV72" t="str">
            <v/>
          </cell>
          <cell r="FX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O73" t="str">
            <v/>
          </cell>
          <cell r="S73" t="str">
            <v/>
          </cell>
          <cell r="DR73" t="str">
            <v/>
          </cell>
          <cell r="DS73" t="str">
            <v/>
          </cell>
          <cell r="DT73" t="str">
            <v/>
          </cell>
          <cell r="DU73" t="str">
            <v/>
          </cell>
          <cell r="DV73" t="str">
            <v/>
          </cell>
          <cell r="DW73"/>
          <cell r="DX73" t="str">
            <v/>
          </cell>
          <cell r="DZ73" t="str">
            <v/>
          </cell>
          <cell r="EA73" t="str">
            <v/>
          </cell>
          <cell r="EB73" t="str">
            <v/>
          </cell>
          <cell r="EC73" t="str">
            <v/>
          </cell>
          <cell r="EG73" t="str">
            <v/>
          </cell>
          <cell r="EI73" t="str">
            <v/>
          </cell>
          <cell r="EJ73" t="str">
            <v/>
          </cell>
          <cell r="EK73" t="str">
            <v/>
          </cell>
          <cell r="EL73" t="str">
            <v/>
          </cell>
          <cell r="EM73" t="str">
            <v/>
          </cell>
          <cell r="EN73" t="str">
            <v/>
          </cell>
          <cell r="EO73" t="str">
            <v/>
          </cell>
          <cell r="EZ73" t="str">
            <v/>
          </cell>
          <cell r="FC73" t="str">
            <v/>
          </cell>
          <cell r="FD73" t="str">
            <v/>
          </cell>
          <cell r="FE73" t="str">
            <v/>
          </cell>
          <cell r="FJ73" t="str">
            <v/>
          </cell>
          <cell r="FK73" t="str">
            <v/>
          </cell>
          <cell r="FL73" t="str">
            <v/>
          </cell>
          <cell r="FM73" t="str">
            <v/>
          </cell>
          <cell r="FN73" t="str">
            <v/>
          </cell>
          <cell r="FO73" t="str">
            <v/>
          </cell>
          <cell r="FP73" t="str">
            <v/>
          </cell>
          <cell r="FT73" t="str">
            <v/>
          </cell>
          <cell r="FV73" t="str">
            <v/>
          </cell>
          <cell r="FX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O74" t="str">
            <v/>
          </cell>
          <cell r="S74" t="str">
            <v/>
          </cell>
          <cell r="DR74" t="str">
            <v/>
          </cell>
          <cell r="DS74" t="str">
            <v/>
          </cell>
          <cell r="DT74" t="str">
            <v/>
          </cell>
          <cell r="DU74" t="str">
            <v/>
          </cell>
          <cell r="DV74" t="str">
            <v/>
          </cell>
          <cell r="DW74"/>
          <cell r="DX74" t="str">
            <v/>
          </cell>
          <cell r="DZ74" t="str">
            <v/>
          </cell>
          <cell r="EA74" t="str">
            <v/>
          </cell>
          <cell r="EB74" t="str">
            <v/>
          </cell>
          <cell r="EC74" t="str">
            <v/>
          </cell>
          <cell r="EG74" t="str">
            <v/>
          </cell>
          <cell r="EI74" t="str">
            <v/>
          </cell>
          <cell r="EJ74" t="str">
            <v/>
          </cell>
          <cell r="EK74" t="str">
            <v/>
          </cell>
          <cell r="EL74" t="str">
            <v/>
          </cell>
          <cell r="EM74" t="str">
            <v/>
          </cell>
          <cell r="EN74" t="str">
            <v/>
          </cell>
          <cell r="EO74" t="str">
            <v/>
          </cell>
          <cell r="EZ74" t="str">
            <v/>
          </cell>
          <cell r="FC74" t="str">
            <v/>
          </cell>
          <cell r="FD74" t="str">
            <v/>
          </cell>
          <cell r="FE74" t="str">
            <v/>
          </cell>
          <cell r="FJ74" t="str">
            <v/>
          </cell>
          <cell r="FK74" t="str">
            <v/>
          </cell>
          <cell r="FL74" t="str">
            <v/>
          </cell>
          <cell r="FM74" t="str">
            <v/>
          </cell>
          <cell r="FN74" t="str">
            <v/>
          </cell>
          <cell r="FO74" t="str">
            <v/>
          </cell>
          <cell r="FP74" t="str">
            <v/>
          </cell>
          <cell r="FT74" t="str">
            <v/>
          </cell>
          <cell r="FV74" t="str">
            <v/>
          </cell>
          <cell r="FX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O75" t="str">
            <v/>
          </cell>
          <cell r="S75" t="str">
            <v/>
          </cell>
          <cell r="DR75" t="str">
            <v/>
          </cell>
          <cell r="DS75" t="str">
            <v/>
          </cell>
          <cell r="DT75" t="str">
            <v/>
          </cell>
          <cell r="DU75" t="str">
            <v/>
          </cell>
          <cell r="DV75" t="str">
            <v/>
          </cell>
          <cell r="DW75"/>
          <cell r="DX75" t="str">
            <v/>
          </cell>
          <cell r="DZ75" t="str">
            <v/>
          </cell>
          <cell r="EA75" t="str">
            <v/>
          </cell>
          <cell r="EB75" t="str">
            <v/>
          </cell>
          <cell r="EC75" t="str">
            <v/>
          </cell>
          <cell r="EG75" t="str">
            <v/>
          </cell>
          <cell r="EI75" t="str">
            <v/>
          </cell>
          <cell r="EJ75" t="str">
            <v/>
          </cell>
          <cell r="EK75" t="str">
            <v/>
          </cell>
          <cell r="EL75" t="str">
            <v/>
          </cell>
          <cell r="EM75" t="str">
            <v/>
          </cell>
          <cell r="EN75" t="str">
            <v/>
          </cell>
          <cell r="EO75" t="str">
            <v/>
          </cell>
          <cell r="EZ75" t="str">
            <v/>
          </cell>
          <cell r="FC75" t="str">
            <v/>
          </cell>
          <cell r="FD75" t="str">
            <v/>
          </cell>
          <cell r="FE75" t="str">
            <v/>
          </cell>
          <cell r="FJ75" t="str">
            <v/>
          </cell>
          <cell r="FK75" t="str">
            <v/>
          </cell>
          <cell r="FL75" t="str">
            <v/>
          </cell>
          <cell r="FM75" t="str">
            <v/>
          </cell>
          <cell r="FN75" t="str">
            <v/>
          </cell>
          <cell r="FO75" t="str">
            <v/>
          </cell>
          <cell r="FP75" t="str">
            <v/>
          </cell>
          <cell r="FT75" t="str">
            <v/>
          </cell>
          <cell r="FV75" t="str">
            <v/>
          </cell>
          <cell r="FX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O76" t="str">
            <v/>
          </cell>
          <cell r="S76" t="str">
            <v/>
          </cell>
          <cell r="DR76" t="str">
            <v/>
          </cell>
          <cell r="DS76" t="str">
            <v/>
          </cell>
          <cell r="DT76" t="str">
            <v/>
          </cell>
          <cell r="DU76" t="str">
            <v/>
          </cell>
          <cell r="DV76" t="str">
            <v/>
          </cell>
          <cell r="DW76"/>
          <cell r="DX76" t="str">
            <v/>
          </cell>
          <cell r="DZ76" t="str">
            <v/>
          </cell>
          <cell r="EA76" t="str">
            <v/>
          </cell>
          <cell r="EB76" t="str">
            <v/>
          </cell>
          <cell r="EC76" t="str">
            <v/>
          </cell>
          <cell r="EG76" t="str">
            <v/>
          </cell>
          <cell r="EI76" t="str">
            <v/>
          </cell>
          <cell r="EJ76" t="str">
            <v/>
          </cell>
          <cell r="EK76" t="str">
            <v/>
          </cell>
          <cell r="EL76" t="str">
            <v/>
          </cell>
          <cell r="EM76" t="str">
            <v/>
          </cell>
          <cell r="EN76" t="str">
            <v/>
          </cell>
          <cell r="EO76" t="str">
            <v/>
          </cell>
          <cell r="EZ76" t="str">
            <v/>
          </cell>
          <cell r="FC76" t="str">
            <v/>
          </cell>
          <cell r="FD76" t="str">
            <v/>
          </cell>
          <cell r="FE76" t="str">
            <v/>
          </cell>
          <cell r="FJ76" t="str">
            <v/>
          </cell>
          <cell r="FK76" t="str">
            <v/>
          </cell>
          <cell r="FL76" t="str">
            <v/>
          </cell>
          <cell r="FM76" t="str">
            <v/>
          </cell>
          <cell r="FN76" t="str">
            <v/>
          </cell>
          <cell r="FO76" t="str">
            <v/>
          </cell>
          <cell r="FP76" t="str">
            <v/>
          </cell>
          <cell r="FT76" t="str">
            <v/>
          </cell>
          <cell r="FV76" t="str">
            <v/>
          </cell>
          <cell r="FX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O77" t="str">
            <v/>
          </cell>
          <cell r="S77" t="str">
            <v/>
          </cell>
          <cell r="DR77" t="str">
            <v/>
          </cell>
          <cell r="DS77" t="str">
            <v/>
          </cell>
          <cell r="DT77" t="str">
            <v/>
          </cell>
          <cell r="DU77" t="str">
            <v/>
          </cell>
          <cell r="DV77" t="str">
            <v/>
          </cell>
          <cell r="DW77"/>
          <cell r="DX77" t="str">
            <v/>
          </cell>
          <cell r="DZ77" t="str">
            <v/>
          </cell>
          <cell r="EA77" t="str">
            <v/>
          </cell>
          <cell r="EB77" t="str">
            <v/>
          </cell>
          <cell r="EC77" t="str">
            <v/>
          </cell>
          <cell r="EG77" t="str">
            <v/>
          </cell>
          <cell r="EI77" t="str">
            <v/>
          </cell>
          <cell r="EJ77" t="str">
            <v/>
          </cell>
          <cell r="EK77" t="str">
            <v/>
          </cell>
          <cell r="EL77" t="str">
            <v/>
          </cell>
          <cell r="EM77" t="str">
            <v/>
          </cell>
          <cell r="EN77" t="str">
            <v/>
          </cell>
          <cell r="EO77" t="str">
            <v/>
          </cell>
          <cell r="EZ77" t="str">
            <v/>
          </cell>
          <cell r="FC77" t="str">
            <v/>
          </cell>
          <cell r="FD77" t="str">
            <v/>
          </cell>
          <cell r="FE77" t="str">
            <v/>
          </cell>
          <cell r="FJ77" t="str">
            <v/>
          </cell>
          <cell r="FK77" t="str">
            <v/>
          </cell>
          <cell r="FL77" t="str">
            <v/>
          </cell>
          <cell r="FM77" t="str">
            <v/>
          </cell>
          <cell r="FN77" t="str">
            <v/>
          </cell>
          <cell r="FO77" t="str">
            <v/>
          </cell>
          <cell r="FP77" t="str">
            <v/>
          </cell>
          <cell r="FT77" t="str">
            <v/>
          </cell>
          <cell r="FV77" t="str">
            <v/>
          </cell>
          <cell r="FX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O78" t="str">
            <v/>
          </cell>
          <cell r="S78" t="str">
            <v/>
          </cell>
          <cell r="DR78" t="str">
            <v/>
          </cell>
          <cell r="DS78" t="str">
            <v/>
          </cell>
          <cell r="DT78" t="str">
            <v/>
          </cell>
          <cell r="DU78" t="str">
            <v/>
          </cell>
          <cell r="DV78" t="str">
            <v/>
          </cell>
          <cell r="DW78"/>
          <cell r="DX78" t="str">
            <v/>
          </cell>
          <cell r="DZ78" t="str">
            <v/>
          </cell>
          <cell r="EA78" t="str">
            <v/>
          </cell>
          <cell r="EB78" t="str">
            <v/>
          </cell>
          <cell r="EC78" t="str">
            <v/>
          </cell>
          <cell r="EG78" t="str">
            <v/>
          </cell>
          <cell r="EI78" t="str">
            <v/>
          </cell>
          <cell r="EJ78" t="str">
            <v/>
          </cell>
          <cell r="EK78" t="str">
            <v/>
          </cell>
          <cell r="EL78" t="str">
            <v/>
          </cell>
          <cell r="EM78" t="str">
            <v/>
          </cell>
          <cell r="EN78" t="str">
            <v/>
          </cell>
          <cell r="EO78" t="str">
            <v/>
          </cell>
          <cell r="EZ78" t="str">
            <v/>
          </cell>
          <cell r="FC78" t="str">
            <v/>
          </cell>
          <cell r="FD78" t="str">
            <v/>
          </cell>
          <cell r="FE78" t="str">
            <v/>
          </cell>
          <cell r="FJ78" t="str">
            <v/>
          </cell>
          <cell r="FK78" t="str">
            <v/>
          </cell>
          <cell r="FL78" t="str">
            <v/>
          </cell>
          <cell r="FM78" t="str">
            <v/>
          </cell>
          <cell r="FN78" t="str">
            <v/>
          </cell>
          <cell r="FO78" t="str">
            <v/>
          </cell>
          <cell r="FP78" t="str">
            <v/>
          </cell>
          <cell r="FT78" t="str">
            <v/>
          </cell>
          <cell r="FV78" t="str">
            <v/>
          </cell>
          <cell r="FX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O79" t="str">
            <v/>
          </cell>
          <cell r="S79" t="str">
            <v/>
          </cell>
          <cell r="DR79" t="str">
            <v/>
          </cell>
          <cell r="DS79" t="str">
            <v/>
          </cell>
          <cell r="DT79" t="str">
            <v/>
          </cell>
          <cell r="DU79" t="str">
            <v/>
          </cell>
          <cell r="DV79" t="str">
            <v/>
          </cell>
          <cell r="DW79"/>
          <cell r="DX79" t="str">
            <v/>
          </cell>
          <cell r="DZ79" t="str">
            <v/>
          </cell>
          <cell r="EA79" t="str">
            <v/>
          </cell>
          <cell r="EB79" t="str">
            <v/>
          </cell>
          <cell r="EC79" t="str">
            <v/>
          </cell>
          <cell r="EG79" t="str">
            <v/>
          </cell>
          <cell r="EI79" t="str">
            <v/>
          </cell>
          <cell r="EJ79" t="str">
            <v/>
          </cell>
          <cell r="EK79" t="str">
            <v/>
          </cell>
          <cell r="EL79" t="str">
            <v/>
          </cell>
          <cell r="EM79" t="str">
            <v/>
          </cell>
          <cell r="EN79" t="str">
            <v/>
          </cell>
          <cell r="EO79" t="str">
            <v/>
          </cell>
          <cell r="EZ79" t="str">
            <v/>
          </cell>
          <cell r="FC79" t="str">
            <v/>
          </cell>
          <cell r="FD79" t="str">
            <v/>
          </cell>
          <cell r="FE79" t="str">
            <v/>
          </cell>
          <cell r="FJ79" t="str">
            <v/>
          </cell>
          <cell r="FK79" t="str">
            <v/>
          </cell>
          <cell r="FL79" t="str">
            <v/>
          </cell>
          <cell r="FM79" t="str">
            <v/>
          </cell>
          <cell r="FN79" t="str">
            <v/>
          </cell>
          <cell r="FO79" t="str">
            <v/>
          </cell>
          <cell r="FP79" t="str">
            <v/>
          </cell>
          <cell r="FT79" t="str">
            <v/>
          </cell>
          <cell r="FV79" t="str">
            <v/>
          </cell>
          <cell r="FX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O80" t="str">
            <v/>
          </cell>
          <cell r="S80" t="str">
            <v/>
          </cell>
          <cell r="DR80" t="str">
            <v/>
          </cell>
          <cell r="DS80" t="str">
            <v/>
          </cell>
          <cell r="DT80" t="str">
            <v/>
          </cell>
          <cell r="DU80" t="str">
            <v/>
          </cell>
          <cell r="DV80" t="str">
            <v/>
          </cell>
          <cell r="DW80"/>
          <cell r="DX80" t="str">
            <v/>
          </cell>
          <cell r="DZ80" t="str">
            <v/>
          </cell>
          <cell r="EA80" t="str">
            <v/>
          </cell>
          <cell r="EB80" t="str">
            <v/>
          </cell>
          <cell r="EC80" t="str">
            <v/>
          </cell>
          <cell r="EG80" t="str">
            <v/>
          </cell>
          <cell r="EI80" t="str">
            <v/>
          </cell>
          <cell r="EJ80" t="str">
            <v/>
          </cell>
          <cell r="EK80" t="str">
            <v/>
          </cell>
          <cell r="EL80" t="str">
            <v/>
          </cell>
          <cell r="EM80" t="str">
            <v/>
          </cell>
          <cell r="EN80" t="str">
            <v/>
          </cell>
          <cell r="EO80" t="str">
            <v/>
          </cell>
          <cell r="EZ80" t="str">
            <v/>
          </cell>
          <cell r="FC80" t="str">
            <v/>
          </cell>
          <cell r="FD80" t="str">
            <v/>
          </cell>
          <cell r="FE80" t="str">
            <v/>
          </cell>
          <cell r="FJ80" t="str">
            <v/>
          </cell>
          <cell r="FK80" t="str">
            <v/>
          </cell>
          <cell r="FL80" t="str">
            <v/>
          </cell>
          <cell r="FM80" t="str">
            <v/>
          </cell>
          <cell r="FN80" t="str">
            <v/>
          </cell>
          <cell r="FO80" t="str">
            <v/>
          </cell>
          <cell r="FP80" t="str">
            <v/>
          </cell>
          <cell r="FT80" t="str">
            <v/>
          </cell>
          <cell r="FV80" t="str">
            <v/>
          </cell>
          <cell r="FX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O81" t="str">
            <v/>
          </cell>
          <cell r="S81" t="str">
            <v/>
          </cell>
          <cell r="DR81" t="str">
            <v/>
          </cell>
          <cell r="DS81" t="str">
            <v/>
          </cell>
          <cell r="DT81" t="str">
            <v/>
          </cell>
          <cell r="DU81" t="str">
            <v/>
          </cell>
          <cell r="DV81" t="str">
            <v/>
          </cell>
          <cell r="DW81"/>
          <cell r="DX81" t="str">
            <v/>
          </cell>
          <cell r="DZ81" t="str">
            <v/>
          </cell>
          <cell r="EA81" t="str">
            <v/>
          </cell>
          <cell r="EB81" t="str">
            <v/>
          </cell>
          <cell r="EC81" t="str">
            <v/>
          </cell>
          <cell r="EG81" t="str">
            <v/>
          </cell>
          <cell r="EI81" t="str">
            <v/>
          </cell>
          <cell r="EJ81" t="str">
            <v/>
          </cell>
          <cell r="EK81" t="str">
            <v/>
          </cell>
          <cell r="EL81" t="str">
            <v/>
          </cell>
          <cell r="EM81" t="str">
            <v/>
          </cell>
          <cell r="EN81" t="str">
            <v/>
          </cell>
          <cell r="EO81" t="str">
            <v/>
          </cell>
          <cell r="EZ81" t="str">
            <v/>
          </cell>
          <cell r="FC81" t="str">
            <v/>
          </cell>
          <cell r="FD81" t="str">
            <v/>
          </cell>
          <cell r="FE81" t="str">
            <v/>
          </cell>
          <cell r="FJ81" t="str">
            <v/>
          </cell>
          <cell r="FK81" t="str">
            <v/>
          </cell>
          <cell r="FL81" t="str">
            <v/>
          </cell>
          <cell r="FM81" t="str">
            <v/>
          </cell>
          <cell r="FN81" t="str">
            <v/>
          </cell>
          <cell r="FO81" t="str">
            <v/>
          </cell>
          <cell r="FP81" t="str">
            <v/>
          </cell>
          <cell r="FT81" t="str">
            <v/>
          </cell>
          <cell r="FV81" t="str">
            <v/>
          </cell>
          <cell r="FX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O82" t="str">
            <v/>
          </cell>
          <cell r="S82" t="str">
            <v/>
          </cell>
          <cell r="DR82" t="str">
            <v/>
          </cell>
          <cell r="DS82" t="str">
            <v/>
          </cell>
          <cell r="DT82" t="str">
            <v/>
          </cell>
          <cell r="DU82" t="str">
            <v/>
          </cell>
          <cell r="DV82" t="str">
            <v/>
          </cell>
          <cell r="DW82"/>
          <cell r="DX82" t="str">
            <v/>
          </cell>
          <cell r="DZ82" t="str">
            <v/>
          </cell>
          <cell r="EA82" t="str">
            <v/>
          </cell>
          <cell r="EB82" t="str">
            <v/>
          </cell>
          <cell r="EC82" t="str">
            <v/>
          </cell>
          <cell r="EG82" t="str">
            <v/>
          </cell>
          <cell r="EI82" t="str">
            <v/>
          </cell>
          <cell r="EJ82" t="str">
            <v/>
          </cell>
          <cell r="EK82" t="str">
            <v/>
          </cell>
          <cell r="EL82" t="str">
            <v/>
          </cell>
          <cell r="EM82" t="str">
            <v/>
          </cell>
          <cell r="EN82" t="str">
            <v/>
          </cell>
          <cell r="EO82" t="str">
            <v/>
          </cell>
          <cell r="EZ82" t="str">
            <v/>
          </cell>
          <cell r="FC82" t="str">
            <v/>
          </cell>
          <cell r="FD82" t="str">
            <v/>
          </cell>
          <cell r="FE82" t="str">
            <v/>
          </cell>
          <cell r="FJ82" t="str">
            <v/>
          </cell>
          <cell r="FK82" t="str">
            <v/>
          </cell>
          <cell r="FL82" t="str">
            <v/>
          </cell>
          <cell r="FM82" t="str">
            <v/>
          </cell>
          <cell r="FN82" t="str">
            <v/>
          </cell>
          <cell r="FO82" t="str">
            <v/>
          </cell>
          <cell r="FP82" t="str">
            <v/>
          </cell>
          <cell r="FT82" t="str">
            <v/>
          </cell>
          <cell r="FV82" t="str">
            <v/>
          </cell>
          <cell r="FX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O83" t="str">
            <v/>
          </cell>
          <cell r="S83" t="str">
            <v/>
          </cell>
          <cell r="DR83" t="str">
            <v/>
          </cell>
          <cell r="DS83" t="str">
            <v/>
          </cell>
          <cell r="DT83" t="str">
            <v/>
          </cell>
          <cell r="DU83" t="str">
            <v/>
          </cell>
          <cell r="DV83" t="str">
            <v/>
          </cell>
          <cell r="DW83"/>
          <cell r="DX83" t="str">
            <v/>
          </cell>
          <cell r="DZ83" t="str">
            <v/>
          </cell>
          <cell r="EA83" t="str">
            <v/>
          </cell>
          <cell r="EB83" t="str">
            <v/>
          </cell>
          <cell r="EC83" t="str">
            <v/>
          </cell>
          <cell r="EG83" t="str">
            <v/>
          </cell>
          <cell r="EI83" t="str">
            <v/>
          </cell>
          <cell r="EJ83" t="str">
            <v/>
          </cell>
          <cell r="EK83" t="str">
            <v/>
          </cell>
          <cell r="EL83" t="str">
            <v/>
          </cell>
          <cell r="EM83" t="str">
            <v/>
          </cell>
          <cell r="EN83" t="str">
            <v/>
          </cell>
          <cell r="EO83" t="str">
            <v/>
          </cell>
          <cell r="EZ83" t="str">
            <v/>
          </cell>
          <cell r="FC83" t="str">
            <v/>
          </cell>
          <cell r="FD83" t="str">
            <v/>
          </cell>
          <cell r="FE83" t="str">
            <v/>
          </cell>
          <cell r="FJ83" t="str">
            <v/>
          </cell>
          <cell r="FK83" t="str">
            <v/>
          </cell>
          <cell r="FL83" t="str">
            <v/>
          </cell>
          <cell r="FM83" t="str">
            <v/>
          </cell>
          <cell r="FN83" t="str">
            <v/>
          </cell>
          <cell r="FO83" t="str">
            <v/>
          </cell>
          <cell r="FP83" t="str">
            <v/>
          </cell>
          <cell r="FT83" t="str">
            <v/>
          </cell>
          <cell r="FV83" t="str">
            <v/>
          </cell>
          <cell r="FX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O84" t="str">
            <v/>
          </cell>
          <cell r="S84" t="str">
            <v/>
          </cell>
          <cell r="DR84" t="str">
            <v/>
          </cell>
          <cell r="DS84" t="str">
            <v/>
          </cell>
          <cell r="DT84" t="str">
            <v/>
          </cell>
          <cell r="DU84" t="str">
            <v/>
          </cell>
          <cell r="DV84" t="str">
            <v/>
          </cell>
          <cell r="DW84"/>
          <cell r="DX84" t="str">
            <v/>
          </cell>
          <cell r="DZ84" t="str">
            <v/>
          </cell>
          <cell r="EA84" t="str">
            <v/>
          </cell>
          <cell r="EB84" t="str">
            <v/>
          </cell>
          <cell r="EC84" t="str">
            <v/>
          </cell>
          <cell r="EG84" t="str">
            <v/>
          </cell>
          <cell r="EI84" t="str">
            <v/>
          </cell>
          <cell r="EJ84" t="str">
            <v/>
          </cell>
          <cell r="EK84" t="str">
            <v/>
          </cell>
          <cell r="EL84" t="str">
            <v/>
          </cell>
          <cell r="EM84" t="str">
            <v/>
          </cell>
          <cell r="EN84" t="str">
            <v/>
          </cell>
          <cell r="EO84" t="str">
            <v/>
          </cell>
          <cell r="EZ84" t="str">
            <v/>
          </cell>
          <cell r="FC84" t="str">
            <v/>
          </cell>
          <cell r="FD84" t="str">
            <v/>
          </cell>
          <cell r="FE84" t="str">
            <v/>
          </cell>
          <cell r="FJ84" t="str">
            <v/>
          </cell>
          <cell r="FK84" t="str">
            <v/>
          </cell>
          <cell r="FL84" t="str">
            <v/>
          </cell>
          <cell r="FM84" t="str">
            <v/>
          </cell>
          <cell r="FN84" t="str">
            <v/>
          </cell>
          <cell r="FO84" t="str">
            <v/>
          </cell>
          <cell r="FP84" t="str">
            <v/>
          </cell>
          <cell r="FT84" t="str">
            <v/>
          </cell>
          <cell r="FV84" t="str">
            <v/>
          </cell>
          <cell r="FX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O85" t="str">
            <v/>
          </cell>
          <cell r="S85" t="str">
            <v/>
          </cell>
          <cell r="DR85" t="str">
            <v/>
          </cell>
          <cell r="DS85" t="str">
            <v/>
          </cell>
          <cell r="DT85" t="str">
            <v/>
          </cell>
          <cell r="DU85" t="str">
            <v/>
          </cell>
          <cell r="DV85" t="str">
            <v/>
          </cell>
          <cell r="DW85"/>
          <cell r="DX85" t="str">
            <v/>
          </cell>
          <cell r="DZ85" t="str">
            <v/>
          </cell>
          <cell r="EA85" t="str">
            <v/>
          </cell>
          <cell r="EB85" t="str">
            <v/>
          </cell>
          <cell r="EC85" t="str">
            <v/>
          </cell>
          <cell r="EG85" t="str">
            <v/>
          </cell>
          <cell r="EI85" t="str">
            <v/>
          </cell>
          <cell r="EJ85" t="str">
            <v/>
          </cell>
          <cell r="EK85" t="str">
            <v/>
          </cell>
          <cell r="EL85" t="str">
            <v/>
          </cell>
          <cell r="EM85" t="str">
            <v/>
          </cell>
          <cell r="EN85" t="str">
            <v/>
          </cell>
          <cell r="EO85" t="str">
            <v/>
          </cell>
          <cell r="EZ85" t="str">
            <v/>
          </cell>
          <cell r="FC85" t="str">
            <v/>
          </cell>
          <cell r="FD85" t="str">
            <v/>
          </cell>
          <cell r="FE85" t="str">
            <v/>
          </cell>
          <cell r="FJ85" t="str">
            <v/>
          </cell>
          <cell r="FK85" t="str">
            <v/>
          </cell>
          <cell r="FL85" t="str">
            <v/>
          </cell>
          <cell r="FM85" t="str">
            <v/>
          </cell>
          <cell r="FN85" t="str">
            <v/>
          </cell>
          <cell r="FO85" t="str">
            <v/>
          </cell>
          <cell r="FP85" t="str">
            <v/>
          </cell>
          <cell r="FT85" t="str">
            <v/>
          </cell>
          <cell r="FV85" t="str">
            <v/>
          </cell>
          <cell r="FX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O86" t="str">
            <v/>
          </cell>
          <cell r="S86" t="str">
            <v/>
          </cell>
          <cell r="DR86" t="str">
            <v/>
          </cell>
          <cell r="DS86" t="str">
            <v/>
          </cell>
          <cell r="DT86" t="str">
            <v/>
          </cell>
          <cell r="DU86" t="str">
            <v/>
          </cell>
          <cell r="DV86" t="str">
            <v/>
          </cell>
          <cell r="DW86"/>
          <cell r="DX86" t="str">
            <v/>
          </cell>
          <cell r="DZ86" t="str">
            <v/>
          </cell>
          <cell r="EA86" t="str">
            <v/>
          </cell>
          <cell r="EB86" t="str">
            <v/>
          </cell>
          <cell r="EC86" t="str">
            <v/>
          </cell>
          <cell r="EG86" t="str">
            <v/>
          </cell>
          <cell r="EI86" t="str">
            <v/>
          </cell>
          <cell r="EJ86" t="str">
            <v/>
          </cell>
          <cell r="EK86" t="str">
            <v/>
          </cell>
          <cell r="EL86" t="str">
            <v/>
          </cell>
          <cell r="EM86" t="str">
            <v/>
          </cell>
          <cell r="EN86" t="str">
            <v/>
          </cell>
          <cell r="EO86" t="str">
            <v/>
          </cell>
          <cell r="EZ86" t="str">
            <v/>
          </cell>
          <cell r="FC86" t="str">
            <v/>
          </cell>
          <cell r="FD86" t="str">
            <v/>
          </cell>
          <cell r="FE86" t="str">
            <v/>
          </cell>
          <cell r="FJ86" t="str">
            <v/>
          </cell>
          <cell r="FK86" t="str">
            <v/>
          </cell>
          <cell r="FL86" t="str">
            <v/>
          </cell>
          <cell r="FM86" t="str">
            <v/>
          </cell>
          <cell r="FN86" t="str">
            <v/>
          </cell>
          <cell r="FO86" t="str">
            <v/>
          </cell>
          <cell r="FP86" t="str">
            <v/>
          </cell>
          <cell r="FT86" t="str">
            <v/>
          </cell>
          <cell r="FV86" t="str">
            <v/>
          </cell>
          <cell r="FX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O87" t="str">
            <v/>
          </cell>
          <cell r="S87" t="str">
            <v/>
          </cell>
          <cell r="DR87" t="str">
            <v/>
          </cell>
          <cell r="DS87" t="str">
            <v/>
          </cell>
          <cell r="DT87" t="str">
            <v/>
          </cell>
          <cell r="DU87" t="str">
            <v/>
          </cell>
          <cell r="DV87" t="str">
            <v/>
          </cell>
          <cell r="DW87"/>
          <cell r="DX87" t="str">
            <v/>
          </cell>
          <cell r="DZ87" t="str">
            <v/>
          </cell>
          <cell r="EA87" t="str">
            <v/>
          </cell>
          <cell r="EB87" t="str">
            <v/>
          </cell>
          <cell r="EC87" t="str">
            <v/>
          </cell>
          <cell r="EG87" t="str">
            <v/>
          </cell>
          <cell r="EI87" t="str">
            <v/>
          </cell>
          <cell r="EJ87" t="str">
            <v/>
          </cell>
          <cell r="EK87" t="str">
            <v/>
          </cell>
          <cell r="EL87" t="str">
            <v/>
          </cell>
          <cell r="EM87" t="str">
            <v/>
          </cell>
          <cell r="EN87" t="str">
            <v/>
          </cell>
          <cell r="EO87" t="str">
            <v/>
          </cell>
          <cell r="EZ87" t="str">
            <v/>
          </cell>
          <cell r="FC87" t="str">
            <v/>
          </cell>
          <cell r="FD87" t="str">
            <v/>
          </cell>
          <cell r="FE87" t="str">
            <v/>
          </cell>
          <cell r="FJ87" t="str">
            <v/>
          </cell>
          <cell r="FK87" t="str">
            <v/>
          </cell>
          <cell r="FL87" t="str">
            <v/>
          </cell>
          <cell r="FM87" t="str">
            <v/>
          </cell>
          <cell r="FN87" t="str">
            <v/>
          </cell>
          <cell r="FO87" t="str">
            <v/>
          </cell>
          <cell r="FP87" t="str">
            <v/>
          </cell>
          <cell r="FT87" t="str">
            <v/>
          </cell>
          <cell r="FV87" t="str">
            <v/>
          </cell>
          <cell r="FX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O88" t="str">
            <v/>
          </cell>
          <cell r="S88" t="str">
            <v/>
          </cell>
          <cell r="DR88" t="str">
            <v/>
          </cell>
          <cell r="DS88" t="str">
            <v/>
          </cell>
          <cell r="DT88" t="str">
            <v/>
          </cell>
          <cell r="DU88" t="str">
            <v/>
          </cell>
          <cell r="DV88" t="str">
            <v/>
          </cell>
          <cell r="DW88"/>
          <cell r="DX88" t="str">
            <v/>
          </cell>
          <cell r="DZ88" t="str">
            <v/>
          </cell>
          <cell r="EA88" t="str">
            <v/>
          </cell>
          <cell r="EB88" t="str">
            <v/>
          </cell>
          <cell r="EC88" t="str">
            <v/>
          </cell>
          <cell r="EG88" t="str">
            <v/>
          </cell>
          <cell r="EI88" t="str">
            <v/>
          </cell>
          <cell r="EJ88" t="str">
            <v/>
          </cell>
          <cell r="EK88" t="str">
            <v/>
          </cell>
          <cell r="EL88" t="str">
            <v/>
          </cell>
          <cell r="EM88" t="str">
            <v/>
          </cell>
          <cell r="EN88" t="str">
            <v/>
          </cell>
          <cell r="EO88" t="str">
            <v/>
          </cell>
          <cell r="EZ88" t="str">
            <v/>
          </cell>
          <cell r="FC88" t="str">
            <v/>
          </cell>
          <cell r="FD88" t="str">
            <v/>
          </cell>
          <cell r="FE88" t="str">
            <v/>
          </cell>
          <cell r="FJ88" t="str">
            <v/>
          </cell>
          <cell r="FK88" t="str">
            <v/>
          </cell>
          <cell r="FL88" t="str">
            <v/>
          </cell>
          <cell r="FM88" t="str">
            <v/>
          </cell>
          <cell r="FN88" t="str">
            <v/>
          </cell>
          <cell r="FO88" t="str">
            <v/>
          </cell>
          <cell r="FP88" t="str">
            <v/>
          </cell>
          <cell r="FT88" t="str">
            <v/>
          </cell>
          <cell r="FV88" t="str">
            <v/>
          </cell>
          <cell r="FX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O89" t="str">
            <v/>
          </cell>
          <cell r="S89" t="str">
            <v/>
          </cell>
          <cell r="DR89" t="str">
            <v/>
          </cell>
          <cell r="DS89" t="str">
            <v/>
          </cell>
          <cell r="DT89" t="str">
            <v/>
          </cell>
          <cell r="DU89" t="str">
            <v/>
          </cell>
          <cell r="DV89" t="str">
            <v/>
          </cell>
          <cell r="DW89"/>
          <cell r="DX89" t="str">
            <v/>
          </cell>
          <cell r="DZ89" t="str">
            <v/>
          </cell>
          <cell r="EA89" t="str">
            <v/>
          </cell>
          <cell r="EB89" t="str">
            <v/>
          </cell>
          <cell r="EC89" t="str">
            <v/>
          </cell>
          <cell r="EG89" t="str">
            <v/>
          </cell>
          <cell r="EI89" t="str">
            <v/>
          </cell>
          <cell r="EJ89" t="str">
            <v/>
          </cell>
          <cell r="EK89" t="str">
            <v/>
          </cell>
          <cell r="EL89" t="str">
            <v/>
          </cell>
          <cell r="EM89" t="str">
            <v/>
          </cell>
          <cell r="EN89" t="str">
            <v/>
          </cell>
          <cell r="EO89" t="str">
            <v/>
          </cell>
          <cell r="EZ89" t="str">
            <v/>
          </cell>
          <cell r="FC89" t="str">
            <v/>
          </cell>
          <cell r="FD89" t="str">
            <v/>
          </cell>
          <cell r="FE89" t="str">
            <v/>
          </cell>
          <cell r="FJ89" t="str">
            <v/>
          </cell>
          <cell r="FK89" t="str">
            <v/>
          </cell>
          <cell r="FL89" t="str">
            <v/>
          </cell>
          <cell r="FM89" t="str">
            <v/>
          </cell>
          <cell r="FN89" t="str">
            <v/>
          </cell>
          <cell r="FO89" t="str">
            <v/>
          </cell>
          <cell r="FP89" t="str">
            <v/>
          </cell>
          <cell r="FT89" t="str">
            <v/>
          </cell>
          <cell r="FV89" t="str">
            <v/>
          </cell>
          <cell r="FX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O90" t="str">
            <v/>
          </cell>
          <cell r="S90" t="str">
            <v/>
          </cell>
          <cell r="DR90" t="str">
            <v/>
          </cell>
          <cell r="DS90" t="str">
            <v/>
          </cell>
          <cell r="DT90" t="str">
            <v/>
          </cell>
          <cell r="DU90" t="str">
            <v/>
          </cell>
          <cell r="DV90" t="str">
            <v/>
          </cell>
          <cell r="DW90"/>
          <cell r="DX90" t="str">
            <v/>
          </cell>
          <cell r="DZ90" t="str">
            <v/>
          </cell>
          <cell r="EA90" t="str">
            <v/>
          </cell>
          <cell r="EB90" t="str">
            <v/>
          </cell>
          <cell r="EC90" t="str">
            <v/>
          </cell>
          <cell r="EG90" t="str">
            <v/>
          </cell>
          <cell r="EI90" t="str">
            <v/>
          </cell>
          <cell r="EJ90" t="str">
            <v/>
          </cell>
          <cell r="EK90" t="str">
            <v/>
          </cell>
          <cell r="EL90" t="str">
            <v/>
          </cell>
          <cell r="EM90" t="str">
            <v/>
          </cell>
          <cell r="EN90" t="str">
            <v/>
          </cell>
          <cell r="EO90" t="str">
            <v/>
          </cell>
          <cell r="EZ90" t="str">
            <v/>
          </cell>
          <cell r="FC90" t="str">
            <v/>
          </cell>
          <cell r="FD90" t="str">
            <v/>
          </cell>
          <cell r="FE90" t="str">
            <v/>
          </cell>
          <cell r="FJ90" t="str">
            <v/>
          </cell>
          <cell r="FK90" t="str">
            <v/>
          </cell>
          <cell r="FL90" t="str">
            <v/>
          </cell>
          <cell r="FM90" t="str">
            <v/>
          </cell>
          <cell r="FN90" t="str">
            <v/>
          </cell>
          <cell r="FO90" t="str">
            <v/>
          </cell>
          <cell r="FP90" t="str">
            <v/>
          </cell>
          <cell r="FT90" t="str">
            <v/>
          </cell>
          <cell r="FV90" t="str">
            <v/>
          </cell>
          <cell r="FX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O91" t="str">
            <v/>
          </cell>
          <cell r="S91" t="str">
            <v/>
          </cell>
          <cell r="DR91" t="str">
            <v/>
          </cell>
          <cell r="DS91" t="str">
            <v/>
          </cell>
          <cell r="DT91" t="str">
            <v/>
          </cell>
          <cell r="DU91" t="str">
            <v/>
          </cell>
          <cell r="DV91" t="str">
            <v/>
          </cell>
          <cell r="DW91"/>
          <cell r="DX91" t="str">
            <v/>
          </cell>
          <cell r="DZ91" t="str">
            <v/>
          </cell>
          <cell r="EA91" t="str">
            <v/>
          </cell>
          <cell r="EB91" t="str">
            <v/>
          </cell>
          <cell r="EC91" t="str">
            <v/>
          </cell>
          <cell r="EG91" t="str">
            <v/>
          </cell>
          <cell r="EI91" t="str">
            <v/>
          </cell>
          <cell r="EJ91" t="str">
            <v/>
          </cell>
          <cell r="EK91" t="str">
            <v/>
          </cell>
          <cell r="EL91" t="str">
            <v/>
          </cell>
          <cell r="EM91" t="str">
            <v/>
          </cell>
          <cell r="EN91" t="str">
            <v/>
          </cell>
          <cell r="EO91" t="str">
            <v/>
          </cell>
          <cell r="EZ91" t="str">
            <v/>
          </cell>
          <cell r="FC91" t="str">
            <v/>
          </cell>
          <cell r="FD91" t="str">
            <v/>
          </cell>
          <cell r="FE91" t="str">
            <v/>
          </cell>
          <cell r="FJ91" t="str">
            <v/>
          </cell>
          <cell r="FK91" t="str">
            <v/>
          </cell>
          <cell r="FL91" t="str">
            <v/>
          </cell>
          <cell r="FM91" t="str">
            <v/>
          </cell>
          <cell r="FN91" t="str">
            <v/>
          </cell>
          <cell r="FO91" t="str">
            <v/>
          </cell>
          <cell r="FP91" t="str">
            <v/>
          </cell>
          <cell r="FT91" t="str">
            <v/>
          </cell>
          <cell r="FV91" t="str">
            <v/>
          </cell>
          <cell r="FX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O92" t="str">
            <v/>
          </cell>
          <cell r="S92" t="str">
            <v/>
          </cell>
          <cell r="DR92" t="str">
            <v/>
          </cell>
          <cell r="DS92" t="str">
            <v/>
          </cell>
          <cell r="DT92" t="str">
            <v/>
          </cell>
          <cell r="DU92" t="str">
            <v/>
          </cell>
          <cell r="DV92" t="str">
            <v/>
          </cell>
          <cell r="DW92"/>
          <cell r="DX92" t="str">
            <v/>
          </cell>
          <cell r="DZ92" t="str">
            <v/>
          </cell>
          <cell r="EA92" t="str">
            <v/>
          </cell>
          <cell r="EB92" t="str">
            <v/>
          </cell>
          <cell r="EC92" t="str">
            <v/>
          </cell>
          <cell r="EG92" t="str">
            <v/>
          </cell>
          <cell r="EI92" t="str">
            <v/>
          </cell>
          <cell r="EJ92" t="str">
            <v/>
          </cell>
          <cell r="EK92" t="str">
            <v/>
          </cell>
          <cell r="EL92" t="str">
            <v/>
          </cell>
          <cell r="EM92" t="str">
            <v/>
          </cell>
          <cell r="EN92" t="str">
            <v/>
          </cell>
          <cell r="EO92" t="str">
            <v/>
          </cell>
          <cell r="EZ92" t="str">
            <v/>
          </cell>
          <cell r="FC92" t="str">
            <v/>
          </cell>
          <cell r="FD92" t="str">
            <v/>
          </cell>
          <cell r="FE92" t="str">
            <v/>
          </cell>
          <cell r="FJ92" t="str">
            <v/>
          </cell>
          <cell r="FK92" t="str">
            <v/>
          </cell>
          <cell r="FL92" t="str">
            <v/>
          </cell>
          <cell r="FM92" t="str">
            <v/>
          </cell>
          <cell r="FN92" t="str">
            <v/>
          </cell>
          <cell r="FO92" t="str">
            <v/>
          </cell>
          <cell r="FP92" t="str">
            <v/>
          </cell>
          <cell r="FT92" t="str">
            <v/>
          </cell>
          <cell r="FV92" t="str">
            <v/>
          </cell>
          <cell r="FX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O93" t="str">
            <v/>
          </cell>
          <cell r="S93" t="str">
            <v/>
          </cell>
          <cell r="DR93" t="str">
            <v/>
          </cell>
          <cell r="DS93" t="str">
            <v/>
          </cell>
          <cell r="DT93" t="str">
            <v/>
          </cell>
          <cell r="DU93" t="str">
            <v/>
          </cell>
          <cell r="DV93" t="str">
            <v/>
          </cell>
          <cell r="DW93"/>
          <cell r="DX93" t="str">
            <v/>
          </cell>
          <cell r="DZ93" t="str">
            <v/>
          </cell>
          <cell r="EA93" t="str">
            <v/>
          </cell>
          <cell r="EB93" t="str">
            <v/>
          </cell>
          <cell r="EC93" t="str">
            <v/>
          </cell>
          <cell r="EG93" t="str">
            <v/>
          </cell>
          <cell r="EI93" t="str">
            <v/>
          </cell>
          <cell r="EJ93" t="str">
            <v/>
          </cell>
          <cell r="EK93" t="str">
            <v/>
          </cell>
          <cell r="EL93" t="str">
            <v/>
          </cell>
          <cell r="EM93" t="str">
            <v/>
          </cell>
          <cell r="EN93" t="str">
            <v/>
          </cell>
          <cell r="EO93" t="str">
            <v/>
          </cell>
          <cell r="EZ93" t="str">
            <v/>
          </cell>
          <cell r="FC93" t="str">
            <v/>
          </cell>
          <cell r="FD93" t="str">
            <v/>
          </cell>
          <cell r="FE93" t="str">
            <v/>
          </cell>
          <cell r="FJ93" t="str">
            <v/>
          </cell>
          <cell r="FK93" t="str">
            <v/>
          </cell>
          <cell r="FL93" t="str">
            <v/>
          </cell>
          <cell r="FM93" t="str">
            <v/>
          </cell>
          <cell r="FN93" t="str">
            <v/>
          </cell>
          <cell r="FO93" t="str">
            <v/>
          </cell>
          <cell r="FP93" t="str">
            <v/>
          </cell>
          <cell r="FT93" t="str">
            <v/>
          </cell>
          <cell r="FV93" t="str">
            <v/>
          </cell>
          <cell r="FX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O94" t="str">
            <v/>
          </cell>
          <cell r="S94" t="str">
            <v/>
          </cell>
          <cell r="DR94" t="str">
            <v/>
          </cell>
          <cell r="DS94" t="str">
            <v/>
          </cell>
          <cell r="DT94" t="str">
            <v/>
          </cell>
          <cell r="DU94" t="str">
            <v/>
          </cell>
          <cell r="DV94" t="str">
            <v/>
          </cell>
          <cell r="DW94"/>
          <cell r="DX94" t="str">
            <v/>
          </cell>
          <cell r="DZ94" t="str">
            <v/>
          </cell>
          <cell r="EA94" t="str">
            <v/>
          </cell>
          <cell r="EB94" t="str">
            <v/>
          </cell>
          <cell r="EC94" t="str">
            <v/>
          </cell>
          <cell r="EG94" t="str">
            <v/>
          </cell>
          <cell r="EI94" t="str">
            <v/>
          </cell>
          <cell r="EJ94" t="str">
            <v/>
          </cell>
          <cell r="EK94" t="str">
            <v/>
          </cell>
          <cell r="EL94" t="str">
            <v/>
          </cell>
          <cell r="EM94" t="str">
            <v/>
          </cell>
          <cell r="EN94" t="str">
            <v/>
          </cell>
          <cell r="EO94" t="str">
            <v/>
          </cell>
          <cell r="EZ94" t="str">
            <v/>
          </cell>
          <cell r="FC94" t="str">
            <v/>
          </cell>
          <cell r="FD94" t="str">
            <v/>
          </cell>
          <cell r="FE94" t="str">
            <v/>
          </cell>
          <cell r="FJ94" t="str">
            <v/>
          </cell>
          <cell r="FK94" t="str">
            <v/>
          </cell>
          <cell r="FL94" t="str">
            <v/>
          </cell>
          <cell r="FM94" t="str">
            <v/>
          </cell>
          <cell r="FN94" t="str">
            <v/>
          </cell>
          <cell r="FO94" t="str">
            <v/>
          </cell>
          <cell r="FP94" t="str">
            <v/>
          </cell>
          <cell r="FT94" t="str">
            <v/>
          </cell>
          <cell r="FV94" t="str">
            <v/>
          </cell>
          <cell r="FX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O95" t="str">
            <v/>
          </cell>
          <cell r="S95" t="str">
            <v/>
          </cell>
          <cell r="DR95" t="str">
            <v/>
          </cell>
          <cell r="DS95" t="str">
            <v/>
          </cell>
          <cell r="DT95" t="str">
            <v/>
          </cell>
          <cell r="DU95" t="str">
            <v/>
          </cell>
          <cell r="DV95" t="str">
            <v/>
          </cell>
          <cell r="DW95"/>
          <cell r="DX95" t="str">
            <v/>
          </cell>
          <cell r="DZ95" t="str">
            <v/>
          </cell>
          <cell r="EA95" t="str">
            <v/>
          </cell>
          <cell r="EB95" t="str">
            <v/>
          </cell>
          <cell r="EC95" t="str">
            <v/>
          </cell>
          <cell r="EG95" t="str">
            <v/>
          </cell>
          <cell r="EI95" t="str">
            <v/>
          </cell>
          <cell r="EJ95" t="str">
            <v/>
          </cell>
          <cell r="EK95" t="str">
            <v/>
          </cell>
          <cell r="EL95" t="str">
            <v/>
          </cell>
          <cell r="EM95" t="str">
            <v/>
          </cell>
          <cell r="EN95" t="str">
            <v/>
          </cell>
          <cell r="EO95" t="str">
            <v/>
          </cell>
          <cell r="EZ95" t="str">
            <v/>
          </cell>
          <cell r="FC95" t="str">
            <v/>
          </cell>
          <cell r="FD95" t="str">
            <v/>
          </cell>
          <cell r="FE95" t="str">
            <v/>
          </cell>
          <cell r="FJ95" t="str">
            <v/>
          </cell>
          <cell r="FK95" t="str">
            <v/>
          </cell>
          <cell r="FL95" t="str">
            <v/>
          </cell>
          <cell r="FM95" t="str">
            <v/>
          </cell>
          <cell r="FN95" t="str">
            <v/>
          </cell>
          <cell r="FO95" t="str">
            <v/>
          </cell>
          <cell r="FP95" t="str">
            <v/>
          </cell>
          <cell r="FT95" t="str">
            <v/>
          </cell>
          <cell r="FV95" t="str">
            <v/>
          </cell>
          <cell r="FX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O96" t="str">
            <v/>
          </cell>
          <cell r="S96" t="str">
            <v/>
          </cell>
          <cell r="DR96" t="str">
            <v/>
          </cell>
          <cell r="DS96" t="str">
            <v/>
          </cell>
          <cell r="DT96" t="str">
            <v/>
          </cell>
          <cell r="DU96" t="str">
            <v/>
          </cell>
          <cell r="DV96" t="str">
            <v/>
          </cell>
          <cell r="DW96"/>
          <cell r="DX96" t="str">
            <v/>
          </cell>
          <cell r="DZ96" t="str">
            <v/>
          </cell>
          <cell r="EA96" t="str">
            <v/>
          </cell>
          <cell r="EB96" t="str">
            <v/>
          </cell>
          <cell r="EC96" t="str">
            <v/>
          </cell>
          <cell r="EG96" t="str">
            <v/>
          </cell>
          <cell r="EI96" t="str">
            <v/>
          </cell>
          <cell r="EJ96" t="str">
            <v/>
          </cell>
          <cell r="EK96" t="str">
            <v/>
          </cell>
          <cell r="EL96" t="str">
            <v/>
          </cell>
          <cell r="EM96" t="str">
            <v/>
          </cell>
          <cell r="EN96" t="str">
            <v/>
          </cell>
          <cell r="EO96" t="str">
            <v/>
          </cell>
          <cell r="EZ96" t="str">
            <v/>
          </cell>
          <cell r="FC96" t="str">
            <v/>
          </cell>
          <cell r="FD96" t="str">
            <v/>
          </cell>
          <cell r="FE96" t="str">
            <v/>
          </cell>
          <cell r="FJ96" t="str">
            <v/>
          </cell>
          <cell r="FK96" t="str">
            <v/>
          </cell>
          <cell r="FL96" t="str">
            <v/>
          </cell>
          <cell r="FM96" t="str">
            <v/>
          </cell>
          <cell r="FN96" t="str">
            <v/>
          </cell>
          <cell r="FO96" t="str">
            <v/>
          </cell>
          <cell r="FP96" t="str">
            <v/>
          </cell>
          <cell r="FT96" t="str">
            <v/>
          </cell>
          <cell r="FV96" t="str">
            <v/>
          </cell>
          <cell r="FX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O97" t="str">
            <v/>
          </cell>
          <cell r="S97" t="str">
            <v/>
          </cell>
          <cell r="DR97" t="str">
            <v/>
          </cell>
          <cell r="DS97" t="str">
            <v/>
          </cell>
          <cell r="DT97" t="str">
            <v/>
          </cell>
          <cell r="DU97" t="str">
            <v/>
          </cell>
          <cell r="DV97" t="str">
            <v/>
          </cell>
          <cell r="DW97"/>
          <cell r="DX97" t="str">
            <v/>
          </cell>
          <cell r="DZ97" t="str">
            <v/>
          </cell>
          <cell r="EA97" t="str">
            <v/>
          </cell>
          <cell r="EB97" t="str">
            <v/>
          </cell>
          <cell r="EC97" t="str">
            <v/>
          </cell>
          <cell r="EG97" t="str">
            <v/>
          </cell>
          <cell r="EI97" t="str">
            <v/>
          </cell>
          <cell r="EJ97" t="str">
            <v/>
          </cell>
          <cell r="EK97" t="str">
            <v/>
          </cell>
          <cell r="EL97" t="str">
            <v/>
          </cell>
          <cell r="EM97" t="str">
            <v/>
          </cell>
          <cell r="EN97" t="str">
            <v/>
          </cell>
          <cell r="EO97" t="str">
            <v/>
          </cell>
          <cell r="EZ97" t="str">
            <v/>
          </cell>
          <cell r="FC97" t="str">
            <v/>
          </cell>
          <cell r="FD97" t="str">
            <v/>
          </cell>
          <cell r="FE97" t="str">
            <v/>
          </cell>
          <cell r="FJ97" t="str">
            <v/>
          </cell>
          <cell r="FK97" t="str">
            <v/>
          </cell>
          <cell r="FL97" t="str">
            <v/>
          </cell>
          <cell r="FM97" t="str">
            <v/>
          </cell>
          <cell r="FN97" t="str">
            <v/>
          </cell>
          <cell r="FO97" t="str">
            <v/>
          </cell>
          <cell r="FP97" t="str">
            <v/>
          </cell>
          <cell r="FT97" t="str">
            <v/>
          </cell>
          <cell r="FV97" t="str">
            <v/>
          </cell>
          <cell r="FX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O98" t="str">
            <v/>
          </cell>
          <cell r="S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/>
          <cell r="DX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G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Z98" t="str">
            <v/>
          </cell>
          <cell r="FC98" t="str">
            <v/>
          </cell>
          <cell r="FD98" t="str">
            <v/>
          </cell>
          <cell r="FE98" t="str">
            <v/>
          </cell>
          <cell r="FJ98" t="str">
            <v/>
          </cell>
          <cell r="FK98" t="str">
            <v/>
          </cell>
          <cell r="FL98" t="str">
            <v/>
          </cell>
          <cell r="FM98" t="str">
            <v/>
          </cell>
          <cell r="FN98" t="str">
            <v/>
          </cell>
          <cell r="FO98" t="str">
            <v/>
          </cell>
          <cell r="FP98" t="str">
            <v/>
          </cell>
          <cell r="FT98" t="str">
            <v/>
          </cell>
          <cell r="FV98" t="str">
            <v/>
          </cell>
          <cell r="FX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O99" t="str">
            <v/>
          </cell>
          <cell r="S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/>
          <cell r="DX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G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Z99" t="str">
            <v/>
          </cell>
          <cell r="FC99" t="str">
            <v/>
          </cell>
          <cell r="FD99" t="str">
            <v/>
          </cell>
          <cell r="FE99" t="str">
            <v/>
          </cell>
          <cell r="FJ99" t="str">
            <v/>
          </cell>
          <cell r="FK99" t="str">
            <v/>
          </cell>
          <cell r="FL99" t="str">
            <v/>
          </cell>
          <cell r="FM99" t="str">
            <v/>
          </cell>
          <cell r="FN99" t="str">
            <v/>
          </cell>
          <cell r="FO99" t="str">
            <v/>
          </cell>
          <cell r="FP99" t="str">
            <v/>
          </cell>
          <cell r="FT99" t="str">
            <v/>
          </cell>
          <cell r="FV99" t="str">
            <v/>
          </cell>
          <cell r="FX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O100" t="str">
            <v/>
          </cell>
          <cell r="S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/>
          <cell r="DX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G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Z100" t="str">
            <v/>
          </cell>
          <cell r="FC100" t="str">
            <v/>
          </cell>
          <cell r="FD100" t="str">
            <v/>
          </cell>
          <cell r="FE100" t="str">
            <v/>
          </cell>
          <cell r="FJ100" t="str">
            <v/>
          </cell>
          <cell r="FK100" t="str">
            <v/>
          </cell>
          <cell r="FL100" t="str">
            <v/>
          </cell>
          <cell r="FM100" t="str">
            <v/>
          </cell>
          <cell r="FN100" t="str">
            <v/>
          </cell>
          <cell r="FO100" t="str">
            <v/>
          </cell>
          <cell r="FP100" t="str">
            <v/>
          </cell>
          <cell r="FT100" t="str">
            <v/>
          </cell>
          <cell r="FV100" t="str">
            <v/>
          </cell>
          <cell r="FX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O101" t="str">
            <v/>
          </cell>
          <cell r="S101" t="str">
            <v/>
          </cell>
          <cell r="DR101" t="str">
            <v/>
          </cell>
          <cell r="DS101" t="str">
            <v/>
          </cell>
          <cell r="DT101" t="str">
            <v/>
          </cell>
          <cell r="DU101" t="str">
            <v/>
          </cell>
          <cell r="DV101" t="str">
            <v/>
          </cell>
          <cell r="DW101"/>
          <cell r="DX101" t="str">
            <v/>
          </cell>
          <cell r="DZ101" t="str">
            <v/>
          </cell>
          <cell r="EA101" t="str">
            <v/>
          </cell>
          <cell r="EB101" t="str">
            <v/>
          </cell>
          <cell r="EC101" t="str">
            <v/>
          </cell>
          <cell r="EG101" t="str">
            <v/>
          </cell>
          <cell r="EI101" t="str">
            <v/>
          </cell>
          <cell r="EJ101" t="str">
            <v/>
          </cell>
          <cell r="EK101" t="str">
            <v/>
          </cell>
          <cell r="EL101" t="str">
            <v/>
          </cell>
          <cell r="EM101" t="str">
            <v/>
          </cell>
          <cell r="EN101" t="str">
            <v/>
          </cell>
          <cell r="EO101" t="str">
            <v/>
          </cell>
          <cell r="EZ101" t="str">
            <v/>
          </cell>
          <cell r="FC101" t="str">
            <v/>
          </cell>
          <cell r="FD101" t="str">
            <v/>
          </cell>
          <cell r="FE101" t="str">
            <v/>
          </cell>
          <cell r="FJ101" t="str">
            <v/>
          </cell>
          <cell r="FK101" t="str">
            <v/>
          </cell>
          <cell r="FL101" t="str">
            <v/>
          </cell>
          <cell r="FM101" t="str">
            <v/>
          </cell>
          <cell r="FN101" t="str">
            <v/>
          </cell>
          <cell r="FO101" t="str">
            <v/>
          </cell>
          <cell r="FP101" t="str">
            <v/>
          </cell>
          <cell r="FT101" t="str">
            <v/>
          </cell>
          <cell r="FV101" t="str">
            <v/>
          </cell>
          <cell r="FX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O102" t="str">
            <v/>
          </cell>
          <cell r="S102" t="str">
            <v/>
          </cell>
          <cell r="DR102" t="str">
            <v/>
          </cell>
          <cell r="DS102" t="str">
            <v/>
          </cell>
          <cell r="DT102" t="str">
            <v/>
          </cell>
          <cell r="DU102" t="str">
            <v/>
          </cell>
          <cell r="DV102" t="str">
            <v/>
          </cell>
          <cell r="DW102"/>
          <cell r="DX102" t="str">
            <v/>
          </cell>
          <cell r="DZ102" t="str">
            <v/>
          </cell>
          <cell r="EA102" t="str">
            <v/>
          </cell>
          <cell r="EB102" t="str">
            <v/>
          </cell>
          <cell r="EC102" t="str">
            <v/>
          </cell>
          <cell r="EG102" t="str">
            <v/>
          </cell>
          <cell r="EI102" t="str">
            <v/>
          </cell>
          <cell r="EJ102" t="str">
            <v/>
          </cell>
          <cell r="EK102" t="str">
            <v/>
          </cell>
          <cell r="EL102" t="str">
            <v/>
          </cell>
          <cell r="EM102" t="str">
            <v/>
          </cell>
          <cell r="EN102" t="str">
            <v/>
          </cell>
          <cell r="EO102" t="str">
            <v/>
          </cell>
          <cell r="EZ102" t="str">
            <v/>
          </cell>
          <cell r="FC102" t="str">
            <v/>
          </cell>
          <cell r="FD102" t="str">
            <v/>
          </cell>
          <cell r="FE102" t="str">
            <v/>
          </cell>
          <cell r="FJ102" t="str">
            <v/>
          </cell>
          <cell r="FK102" t="str">
            <v/>
          </cell>
          <cell r="FL102" t="str">
            <v/>
          </cell>
          <cell r="FM102" t="str">
            <v/>
          </cell>
          <cell r="FN102" t="str">
            <v/>
          </cell>
          <cell r="FO102" t="str">
            <v/>
          </cell>
          <cell r="FP102" t="str">
            <v/>
          </cell>
          <cell r="FT102" t="str">
            <v/>
          </cell>
          <cell r="FV102" t="str">
            <v/>
          </cell>
          <cell r="FX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O103" t="str">
            <v/>
          </cell>
          <cell r="S103" t="str">
            <v/>
          </cell>
          <cell r="DR103" t="str">
            <v/>
          </cell>
          <cell r="DS103" t="str">
            <v/>
          </cell>
          <cell r="DT103" t="str">
            <v/>
          </cell>
          <cell r="DU103" t="str">
            <v/>
          </cell>
          <cell r="DV103" t="str">
            <v/>
          </cell>
          <cell r="DW103"/>
          <cell r="DX103" t="str">
            <v/>
          </cell>
          <cell r="DZ103" t="str">
            <v/>
          </cell>
          <cell r="EA103" t="str">
            <v/>
          </cell>
          <cell r="EB103" t="str">
            <v/>
          </cell>
          <cell r="EC103" t="str">
            <v/>
          </cell>
          <cell r="EG103" t="str">
            <v/>
          </cell>
          <cell r="EI103" t="str">
            <v/>
          </cell>
          <cell r="EJ103" t="str">
            <v/>
          </cell>
          <cell r="EK103" t="str">
            <v/>
          </cell>
          <cell r="EL103" t="str">
            <v/>
          </cell>
          <cell r="EM103" t="str">
            <v/>
          </cell>
          <cell r="EN103" t="str">
            <v/>
          </cell>
          <cell r="EO103" t="str">
            <v/>
          </cell>
          <cell r="EZ103" t="str">
            <v/>
          </cell>
          <cell r="FC103" t="str">
            <v/>
          </cell>
          <cell r="FD103" t="str">
            <v/>
          </cell>
          <cell r="FE103" t="str">
            <v/>
          </cell>
          <cell r="FJ103" t="str">
            <v/>
          </cell>
          <cell r="FK103" t="str">
            <v/>
          </cell>
          <cell r="FL103" t="str">
            <v/>
          </cell>
          <cell r="FM103" t="str">
            <v/>
          </cell>
          <cell r="FN103" t="str">
            <v/>
          </cell>
          <cell r="FO103" t="str">
            <v/>
          </cell>
          <cell r="FP103" t="str">
            <v/>
          </cell>
          <cell r="FT103" t="str">
            <v/>
          </cell>
          <cell r="FV103" t="str">
            <v/>
          </cell>
          <cell r="FX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O104" t="str">
            <v/>
          </cell>
          <cell r="S104" t="str">
            <v/>
          </cell>
          <cell r="DR104" t="str">
            <v/>
          </cell>
          <cell r="DS104" t="str">
            <v/>
          </cell>
          <cell r="DT104" t="str">
            <v/>
          </cell>
          <cell r="DU104" t="str">
            <v/>
          </cell>
          <cell r="DV104" t="str">
            <v/>
          </cell>
          <cell r="DW104"/>
          <cell r="DX104" t="str">
            <v/>
          </cell>
          <cell r="DZ104" t="str">
            <v/>
          </cell>
          <cell r="EA104" t="str">
            <v/>
          </cell>
          <cell r="EB104" t="str">
            <v/>
          </cell>
          <cell r="EC104" t="str">
            <v/>
          </cell>
          <cell r="EG104" t="str">
            <v/>
          </cell>
          <cell r="EI104" t="str">
            <v/>
          </cell>
          <cell r="EJ104" t="str">
            <v/>
          </cell>
          <cell r="EK104" t="str">
            <v/>
          </cell>
          <cell r="EL104" t="str">
            <v/>
          </cell>
          <cell r="EM104" t="str">
            <v/>
          </cell>
          <cell r="EN104" t="str">
            <v/>
          </cell>
          <cell r="EO104" t="str">
            <v/>
          </cell>
          <cell r="EZ104" t="str">
            <v/>
          </cell>
          <cell r="FC104" t="str">
            <v/>
          </cell>
          <cell r="FD104" t="str">
            <v/>
          </cell>
          <cell r="FE104" t="str">
            <v/>
          </cell>
          <cell r="FJ104" t="str">
            <v/>
          </cell>
          <cell r="FK104" t="str">
            <v/>
          </cell>
          <cell r="FL104" t="str">
            <v/>
          </cell>
          <cell r="FM104" t="str">
            <v/>
          </cell>
          <cell r="FN104" t="str">
            <v/>
          </cell>
          <cell r="FO104" t="str">
            <v/>
          </cell>
          <cell r="FP104" t="str">
            <v/>
          </cell>
          <cell r="FT104" t="str">
            <v/>
          </cell>
          <cell r="FV104" t="str">
            <v/>
          </cell>
          <cell r="FX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O105" t="str">
            <v/>
          </cell>
          <cell r="S105" t="str">
            <v/>
          </cell>
          <cell r="DR105" t="str">
            <v/>
          </cell>
          <cell r="DS105" t="str">
            <v/>
          </cell>
          <cell r="DT105" t="str">
            <v/>
          </cell>
          <cell r="DU105" t="str">
            <v/>
          </cell>
          <cell r="DV105" t="str">
            <v/>
          </cell>
          <cell r="DW105"/>
          <cell r="DX105" t="str">
            <v/>
          </cell>
          <cell r="DZ105" t="str">
            <v/>
          </cell>
          <cell r="EA105" t="str">
            <v/>
          </cell>
          <cell r="EB105" t="str">
            <v/>
          </cell>
          <cell r="EC105" t="str">
            <v/>
          </cell>
          <cell r="EG105" t="str">
            <v/>
          </cell>
          <cell r="EI105" t="str">
            <v/>
          </cell>
          <cell r="EJ105" t="str">
            <v/>
          </cell>
          <cell r="EK105" t="str">
            <v/>
          </cell>
          <cell r="EL105" t="str">
            <v/>
          </cell>
          <cell r="EM105" t="str">
            <v/>
          </cell>
          <cell r="EN105" t="str">
            <v/>
          </cell>
          <cell r="EO105" t="str">
            <v/>
          </cell>
          <cell r="EZ105" t="str">
            <v/>
          </cell>
          <cell r="FC105" t="str">
            <v/>
          </cell>
          <cell r="FD105" t="str">
            <v/>
          </cell>
          <cell r="FE105" t="str">
            <v/>
          </cell>
          <cell r="FJ105" t="str">
            <v/>
          </cell>
          <cell r="FK105" t="str">
            <v/>
          </cell>
          <cell r="FL105" t="str">
            <v/>
          </cell>
          <cell r="FM105" t="str">
            <v/>
          </cell>
          <cell r="FN105" t="str">
            <v/>
          </cell>
          <cell r="FO105" t="str">
            <v/>
          </cell>
          <cell r="FP105" t="str">
            <v/>
          </cell>
          <cell r="FT105" t="str">
            <v/>
          </cell>
          <cell r="FV105" t="str">
            <v/>
          </cell>
          <cell r="FX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O106" t="str">
            <v/>
          </cell>
          <cell r="S106" t="str">
            <v/>
          </cell>
          <cell r="DR106" t="str">
            <v/>
          </cell>
          <cell r="DS106" t="str">
            <v/>
          </cell>
          <cell r="DT106" t="str">
            <v/>
          </cell>
          <cell r="DU106" t="str">
            <v/>
          </cell>
          <cell r="DV106" t="str">
            <v/>
          </cell>
          <cell r="DW106"/>
          <cell r="DX106" t="str">
            <v/>
          </cell>
          <cell r="DZ106" t="str">
            <v/>
          </cell>
          <cell r="EA106" t="str">
            <v/>
          </cell>
          <cell r="EB106" t="str">
            <v/>
          </cell>
          <cell r="EC106" t="str">
            <v/>
          </cell>
          <cell r="EG106" t="str">
            <v/>
          </cell>
          <cell r="EI106" t="str">
            <v/>
          </cell>
          <cell r="EJ106" t="str">
            <v/>
          </cell>
          <cell r="EK106" t="str">
            <v/>
          </cell>
          <cell r="EL106" t="str">
            <v/>
          </cell>
          <cell r="EM106" t="str">
            <v/>
          </cell>
          <cell r="EN106" t="str">
            <v/>
          </cell>
          <cell r="EO106" t="str">
            <v/>
          </cell>
          <cell r="EZ106" t="str">
            <v/>
          </cell>
          <cell r="FC106" t="str">
            <v/>
          </cell>
          <cell r="FD106" t="str">
            <v/>
          </cell>
          <cell r="FE106" t="str">
            <v/>
          </cell>
          <cell r="FJ106" t="str">
            <v/>
          </cell>
          <cell r="FK106" t="str">
            <v/>
          </cell>
          <cell r="FL106" t="str">
            <v/>
          </cell>
          <cell r="FM106" t="str">
            <v/>
          </cell>
          <cell r="FN106" t="str">
            <v/>
          </cell>
          <cell r="FO106" t="str">
            <v/>
          </cell>
          <cell r="FP106" t="str">
            <v/>
          </cell>
          <cell r="FT106" t="str">
            <v/>
          </cell>
          <cell r="FV106" t="str">
            <v/>
          </cell>
          <cell r="FX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O107" t="str">
            <v/>
          </cell>
          <cell r="S107" t="str">
            <v/>
          </cell>
          <cell r="DR107" t="str">
            <v/>
          </cell>
          <cell r="DS107" t="str">
            <v/>
          </cell>
          <cell r="DT107" t="str">
            <v/>
          </cell>
          <cell r="DU107" t="str">
            <v/>
          </cell>
          <cell r="DV107" t="str">
            <v/>
          </cell>
          <cell r="DW107"/>
          <cell r="DX107" t="str">
            <v/>
          </cell>
          <cell r="DZ107" t="str">
            <v/>
          </cell>
          <cell r="EA107" t="str">
            <v/>
          </cell>
          <cell r="EB107" t="str">
            <v/>
          </cell>
          <cell r="EC107" t="str">
            <v/>
          </cell>
          <cell r="EG107" t="str">
            <v/>
          </cell>
          <cell r="EI107" t="str">
            <v/>
          </cell>
          <cell r="EJ107" t="str">
            <v/>
          </cell>
          <cell r="EK107" t="str">
            <v/>
          </cell>
          <cell r="EL107" t="str">
            <v/>
          </cell>
          <cell r="EM107" t="str">
            <v/>
          </cell>
          <cell r="EN107" t="str">
            <v/>
          </cell>
          <cell r="EO107" t="str">
            <v/>
          </cell>
          <cell r="EZ107" t="str">
            <v/>
          </cell>
          <cell r="FC107" t="str">
            <v/>
          </cell>
          <cell r="FD107" t="str">
            <v/>
          </cell>
          <cell r="FE107" t="str">
            <v/>
          </cell>
          <cell r="FJ107" t="str">
            <v/>
          </cell>
          <cell r="FK107" t="str">
            <v/>
          </cell>
          <cell r="FL107" t="str">
            <v/>
          </cell>
          <cell r="FM107" t="str">
            <v/>
          </cell>
          <cell r="FN107" t="str">
            <v/>
          </cell>
          <cell r="FO107" t="str">
            <v/>
          </cell>
          <cell r="FP107" t="str">
            <v/>
          </cell>
          <cell r="FT107" t="str">
            <v/>
          </cell>
          <cell r="FV107" t="str">
            <v/>
          </cell>
          <cell r="FX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O108" t="str">
            <v/>
          </cell>
          <cell r="S108" t="str">
            <v/>
          </cell>
          <cell r="DR108" t="str">
            <v/>
          </cell>
          <cell r="DS108" t="str">
            <v/>
          </cell>
          <cell r="DT108" t="str">
            <v/>
          </cell>
          <cell r="DU108" t="str">
            <v/>
          </cell>
          <cell r="DV108" t="str">
            <v/>
          </cell>
          <cell r="DW108"/>
          <cell r="DX108" t="str">
            <v/>
          </cell>
          <cell r="DZ108" t="str">
            <v/>
          </cell>
          <cell r="EA108" t="str">
            <v/>
          </cell>
          <cell r="EB108" t="str">
            <v/>
          </cell>
          <cell r="EC108" t="str">
            <v/>
          </cell>
          <cell r="EG108" t="str">
            <v/>
          </cell>
          <cell r="EI108" t="str">
            <v/>
          </cell>
          <cell r="EJ108" t="str">
            <v/>
          </cell>
          <cell r="EK108" t="str">
            <v/>
          </cell>
          <cell r="EL108" t="str">
            <v/>
          </cell>
          <cell r="EM108" t="str">
            <v/>
          </cell>
          <cell r="EN108" t="str">
            <v/>
          </cell>
          <cell r="EO108" t="str">
            <v/>
          </cell>
          <cell r="EZ108" t="str">
            <v/>
          </cell>
          <cell r="FC108" t="str">
            <v/>
          </cell>
          <cell r="FD108" t="str">
            <v/>
          </cell>
          <cell r="FE108" t="str">
            <v/>
          </cell>
          <cell r="FJ108" t="str">
            <v/>
          </cell>
          <cell r="FK108" t="str">
            <v/>
          </cell>
          <cell r="FL108" t="str">
            <v/>
          </cell>
          <cell r="FM108" t="str">
            <v/>
          </cell>
          <cell r="FN108" t="str">
            <v/>
          </cell>
          <cell r="FO108" t="str">
            <v/>
          </cell>
          <cell r="FP108" t="str">
            <v/>
          </cell>
          <cell r="FT108" t="str">
            <v/>
          </cell>
          <cell r="FV108" t="str">
            <v/>
          </cell>
          <cell r="FX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O109" t="str">
            <v/>
          </cell>
          <cell r="S109" t="str">
            <v/>
          </cell>
          <cell r="DR109" t="str">
            <v/>
          </cell>
          <cell r="DS109" t="str">
            <v/>
          </cell>
          <cell r="DT109" t="str">
            <v/>
          </cell>
          <cell r="DU109" t="str">
            <v/>
          </cell>
          <cell r="DV109" t="str">
            <v/>
          </cell>
          <cell r="DW109"/>
          <cell r="DX109" t="str">
            <v/>
          </cell>
          <cell r="DZ109" t="str">
            <v/>
          </cell>
          <cell r="EA109" t="str">
            <v/>
          </cell>
          <cell r="EB109" t="str">
            <v/>
          </cell>
          <cell r="EC109" t="str">
            <v/>
          </cell>
          <cell r="EG109" t="str">
            <v/>
          </cell>
          <cell r="EI109" t="str">
            <v/>
          </cell>
          <cell r="EJ109" t="str">
            <v/>
          </cell>
          <cell r="EK109" t="str">
            <v/>
          </cell>
          <cell r="EL109" t="str">
            <v/>
          </cell>
          <cell r="EM109" t="str">
            <v/>
          </cell>
          <cell r="EN109" t="str">
            <v/>
          </cell>
          <cell r="EO109" t="str">
            <v/>
          </cell>
          <cell r="EZ109" t="str">
            <v/>
          </cell>
          <cell r="FC109" t="str">
            <v/>
          </cell>
          <cell r="FD109" t="str">
            <v/>
          </cell>
          <cell r="FE109" t="str">
            <v/>
          </cell>
          <cell r="FJ109" t="str">
            <v/>
          </cell>
          <cell r="FK109" t="str">
            <v/>
          </cell>
          <cell r="FL109" t="str">
            <v/>
          </cell>
          <cell r="FM109" t="str">
            <v/>
          </cell>
          <cell r="FN109" t="str">
            <v/>
          </cell>
          <cell r="FO109" t="str">
            <v/>
          </cell>
          <cell r="FP109" t="str">
            <v/>
          </cell>
          <cell r="FT109" t="str">
            <v/>
          </cell>
          <cell r="FV109" t="str">
            <v/>
          </cell>
          <cell r="FX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O110" t="str">
            <v/>
          </cell>
          <cell r="S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/>
          <cell r="DX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G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Z110" t="str">
            <v/>
          </cell>
          <cell r="FC110" t="str">
            <v/>
          </cell>
          <cell r="FD110" t="str">
            <v/>
          </cell>
          <cell r="FE110" t="str">
            <v/>
          </cell>
          <cell r="FJ110" t="str">
            <v/>
          </cell>
          <cell r="FK110" t="str">
            <v/>
          </cell>
          <cell r="FL110" t="str">
            <v/>
          </cell>
          <cell r="FM110" t="str">
            <v/>
          </cell>
          <cell r="FN110" t="str">
            <v/>
          </cell>
          <cell r="FO110" t="str">
            <v/>
          </cell>
          <cell r="FP110" t="str">
            <v/>
          </cell>
          <cell r="FT110" t="str">
            <v/>
          </cell>
          <cell r="FV110" t="str">
            <v/>
          </cell>
          <cell r="FX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O111" t="str">
            <v/>
          </cell>
          <cell r="S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/>
          <cell r="DX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G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Z111" t="str">
            <v/>
          </cell>
          <cell r="FC111" t="str">
            <v/>
          </cell>
          <cell r="FD111" t="str">
            <v/>
          </cell>
          <cell r="FE111" t="str">
            <v/>
          </cell>
          <cell r="FJ111" t="str">
            <v/>
          </cell>
          <cell r="FK111" t="str">
            <v/>
          </cell>
          <cell r="FL111" t="str">
            <v/>
          </cell>
          <cell r="FM111" t="str">
            <v/>
          </cell>
          <cell r="FN111" t="str">
            <v/>
          </cell>
          <cell r="FO111" t="str">
            <v/>
          </cell>
          <cell r="FP111" t="str">
            <v/>
          </cell>
          <cell r="FT111" t="str">
            <v/>
          </cell>
          <cell r="FV111" t="str">
            <v/>
          </cell>
          <cell r="FX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O112" t="str">
            <v/>
          </cell>
          <cell r="S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/>
          <cell r="DX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G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Z112" t="str">
            <v/>
          </cell>
          <cell r="FC112" t="str">
            <v/>
          </cell>
          <cell r="FD112" t="str">
            <v/>
          </cell>
          <cell r="FE112" t="str">
            <v/>
          </cell>
          <cell r="FJ112" t="str">
            <v/>
          </cell>
          <cell r="FK112" t="str">
            <v/>
          </cell>
          <cell r="FL112" t="str">
            <v/>
          </cell>
          <cell r="FM112" t="str">
            <v/>
          </cell>
          <cell r="FN112" t="str">
            <v/>
          </cell>
          <cell r="FO112" t="str">
            <v/>
          </cell>
          <cell r="FP112" t="str">
            <v/>
          </cell>
          <cell r="FT112" t="str">
            <v/>
          </cell>
          <cell r="FV112" t="str">
            <v/>
          </cell>
          <cell r="FX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O113" t="str">
            <v/>
          </cell>
          <cell r="S113" t="str">
            <v/>
          </cell>
          <cell r="DR113" t="str">
            <v/>
          </cell>
          <cell r="DS113" t="str">
            <v/>
          </cell>
          <cell r="DT113" t="str">
            <v/>
          </cell>
          <cell r="DU113" t="str">
            <v/>
          </cell>
          <cell r="DV113" t="str">
            <v/>
          </cell>
          <cell r="DW113"/>
          <cell r="DX113" t="str">
            <v/>
          </cell>
          <cell r="DZ113" t="str">
            <v/>
          </cell>
          <cell r="EA113" t="str">
            <v/>
          </cell>
          <cell r="EB113" t="str">
            <v/>
          </cell>
          <cell r="EC113" t="str">
            <v/>
          </cell>
          <cell r="EG113" t="str">
            <v/>
          </cell>
          <cell r="EI113" t="str">
            <v/>
          </cell>
          <cell r="EJ113" t="str">
            <v/>
          </cell>
          <cell r="EK113" t="str">
            <v/>
          </cell>
          <cell r="EL113" t="str">
            <v/>
          </cell>
          <cell r="EM113" t="str">
            <v/>
          </cell>
          <cell r="EN113" t="str">
            <v/>
          </cell>
          <cell r="EO113" t="str">
            <v/>
          </cell>
          <cell r="EZ113" t="str">
            <v/>
          </cell>
          <cell r="FC113" t="str">
            <v/>
          </cell>
          <cell r="FD113" t="str">
            <v/>
          </cell>
          <cell r="FE113" t="str">
            <v/>
          </cell>
          <cell r="FJ113" t="str">
            <v/>
          </cell>
          <cell r="FK113" t="str">
            <v/>
          </cell>
          <cell r="FL113" t="str">
            <v/>
          </cell>
          <cell r="FM113" t="str">
            <v/>
          </cell>
          <cell r="FN113" t="str">
            <v/>
          </cell>
          <cell r="FO113" t="str">
            <v/>
          </cell>
          <cell r="FP113" t="str">
            <v/>
          </cell>
          <cell r="FT113" t="str">
            <v/>
          </cell>
          <cell r="FV113" t="str">
            <v/>
          </cell>
          <cell r="FX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O114" t="str">
            <v/>
          </cell>
          <cell r="S114" t="str">
            <v/>
          </cell>
          <cell r="DR114" t="str">
            <v/>
          </cell>
          <cell r="DS114" t="str">
            <v/>
          </cell>
          <cell r="DT114" t="str">
            <v/>
          </cell>
          <cell r="DU114" t="str">
            <v/>
          </cell>
          <cell r="DV114" t="str">
            <v/>
          </cell>
          <cell r="DW114"/>
          <cell r="DX114" t="str">
            <v/>
          </cell>
          <cell r="DZ114" t="str">
            <v/>
          </cell>
          <cell r="EA114" t="str">
            <v/>
          </cell>
          <cell r="EB114" t="str">
            <v/>
          </cell>
          <cell r="EC114" t="str">
            <v/>
          </cell>
          <cell r="EG114" t="str">
            <v/>
          </cell>
          <cell r="EI114" t="str">
            <v/>
          </cell>
          <cell r="EJ114" t="str">
            <v/>
          </cell>
          <cell r="EK114" t="str">
            <v/>
          </cell>
          <cell r="EL114" t="str">
            <v/>
          </cell>
          <cell r="EM114" t="str">
            <v/>
          </cell>
          <cell r="EN114" t="str">
            <v/>
          </cell>
          <cell r="EO114" t="str">
            <v/>
          </cell>
          <cell r="EZ114" t="str">
            <v/>
          </cell>
          <cell r="FC114" t="str">
            <v/>
          </cell>
          <cell r="FD114" t="str">
            <v/>
          </cell>
          <cell r="FE114" t="str">
            <v/>
          </cell>
          <cell r="FJ114" t="str">
            <v/>
          </cell>
          <cell r="FK114" t="str">
            <v/>
          </cell>
          <cell r="FL114" t="str">
            <v/>
          </cell>
          <cell r="FM114" t="str">
            <v/>
          </cell>
          <cell r="FN114" t="str">
            <v/>
          </cell>
          <cell r="FO114" t="str">
            <v/>
          </cell>
          <cell r="FP114" t="str">
            <v/>
          </cell>
          <cell r="FT114" t="str">
            <v/>
          </cell>
          <cell r="FV114" t="str">
            <v/>
          </cell>
          <cell r="FX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O115" t="str">
            <v/>
          </cell>
          <cell r="S115" t="str">
            <v/>
          </cell>
          <cell r="DR115" t="str">
            <v/>
          </cell>
          <cell r="DS115" t="str">
            <v/>
          </cell>
          <cell r="DT115" t="str">
            <v/>
          </cell>
          <cell r="DU115" t="str">
            <v/>
          </cell>
          <cell r="DV115" t="str">
            <v/>
          </cell>
          <cell r="DW115"/>
          <cell r="DX115" t="str">
            <v/>
          </cell>
          <cell r="DZ115" t="str">
            <v/>
          </cell>
          <cell r="EA115" t="str">
            <v/>
          </cell>
          <cell r="EB115" t="str">
            <v/>
          </cell>
          <cell r="EC115" t="str">
            <v/>
          </cell>
          <cell r="EG115" t="str">
            <v/>
          </cell>
          <cell r="EI115" t="str">
            <v/>
          </cell>
          <cell r="EJ115" t="str">
            <v/>
          </cell>
          <cell r="EK115" t="str">
            <v/>
          </cell>
          <cell r="EL115" t="str">
            <v/>
          </cell>
          <cell r="EM115" t="str">
            <v/>
          </cell>
          <cell r="EN115" t="str">
            <v/>
          </cell>
          <cell r="EO115" t="str">
            <v/>
          </cell>
          <cell r="EZ115" t="str">
            <v/>
          </cell>
          <cell r="FC115" t="str">
            <v/>
          </cell>
          <cell r="FD115" t="str">
            <v/>
          </cell>
          <cell r="FE115" t="str">
            <v/>
          </cell>
          <cell r="FJ115" t="str">
            <v/>
          </cell>
          <cell r="FK115" t="str">
            <v/>
          </cell>
          <cell r="FL115" t="str">
            <v/>
          </cell>
          <cell r="FM115" t="str">
            <v/>
          </cell>
          <cell r="FN115" t="str">
            <v/>
          </cell>
          <cell r="FO115" t="str">
            <v/>
          </cell>
          <cell r="FP115" t="str">
            <v/>
          </cell>
          <cell r="FT115" t="str">
            <v/>
          </cell>
          <cell r="FV115" t="str">
            <v/>
          </cell>
          <cell r="FX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O116" t="str">
            <v/>
          </cell>
          <cell r="S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/>
          <cell r="DX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G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Z116" t="str">
            <v/>
          </cell>
          <cell r="FC116" t="str">
            <v/>
          </cell>
          <cell r="FD116" t="str">
            <v/>
          </cell>
          <cell r="FE116" t="str">
            <v/>
          </cell>
          <cell r="FJ116" t="str">
            <v/>
          </cell>
          <cell r="FK116" t="str">
            <v/>
          </cell>
          <cell r="FL116" t="str">
            <v/>
          </cell>
          <cell r="FM116" t="str">
            <v/>
          </cell>
          <cell r="FN116" t="str">
            <v/>
          </cell>
          <cell r="FO116" t="str">
            <v/>
          </cell>
          <cell r="FP116" t="str">
            <v/>
          </cell>
          <cell r="FT116" t="str">
            <v/>
          </cell>
          <cell r="FV116" t="str">
            <v/>
          </cell>
          <cell r="FX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O117" t="str">
            <v/>
          </cell>
          <cell r="S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/>
          <cell r="DX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G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Z117" t="str">
            <v/>
          </cell>
          <cell r="FC117" t="str">
            <v/>
          </cell>
          <cell r="FD117" t="str">
            <v/>
          </cell>
          <cell r="FE117" t="str">
            <v/>
          </cell>
          <cell r="FJ117" t="str">
            <v/>
          </cell>
          <cell r="FK117" t="str">
            <v/>
          </cell>
          <cell r="FL117" t="str">
            <v/>
          </cell>
          <cell r="FM117" t="str">
            <v/>
          </cell>
          <cell r="FN117" t="str">
            <v/>
          </cell>
          <cell r="FO117" t="str">
            <v/>
          </cell>
          <cell r="FP117" t="str">
            <v/>
          </cell>
          <cell r="FT117" t="str">
            <v/>
          </cell>
          <cell r="FV117" t="str">
            <v/>
          </cell>
          <cell r="FX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O118" t="str">
            <v/>
          </cell>
          <cell r="S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/>
          <cell r="DX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G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Z118" t="str">
            <v/>
          </cell>
          <cell r="FC118" t="str">
            <v/>
          </cell>
          <cell r="FD118" t="str">
            <v/>
          </cell>
          <cell r="FE118" t="str">
            <v/>
          </cell>
          <cell r="FJ118" t="str">
            <v/>
          </cell>
          <cell r="FK118" t="str">
            <v/>
          </cell>
          <cell r="FL118" t="str">
            <v/>
          </cell>
          <cell r="FM118" t="str">
            <v/>
          </cell>
          <cell r="FN118" t="str">
            <v/>
          </cell>
          <cell r="FO118" t="str">
            <v/>
          </cell>
          <cell r="FP118" t="str">
            <v/>
          </cell>
          <cell r="FT118" t="str">
            <v/>
          </cell>
          <cell r="FV118" t="str">
            <v/>
          </cell>
          <cell r="FX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O119" t="str">
            <v/>
          </cell>
          <cell r="S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/>
          <cell r="DX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G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Z119" t="str">
            <v/>
          </cell>
          <cell r="FC119" t="str">
            <v/>
          </cell>
          <cell r="FD119" t="str">
            <v/>
          </cell>
          <cell r="FE119" t="str">
            <v/>
          </cell>
          <cell r="FJ119" t="str">
            <v/>
          </cell>
          <cell r="FK119" t="str">
            <v/>
          </cell>
          <cell r="FL119" t="str">
            <v/>
          </cell>
          <cell r="FM119" t="str">
            <v/>
          </cell>
          <cell r="FN119" t="str">
            <v/>
          </cell>
          <cell r="FO119" t="str">
            <v/>
          </cell>
          <cell r="FP119" t="str">
            <v/>
          </cell>
          <cell r="FT119" t="str">
            <v/>
          </cell>
          <cell r="FV119" t="str">
            <v/>
          </cell>
          <cell r="FX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O120" t="str">
            <v/>
          </cell>
          <cell r="S120" t="str">
            <v/>
          </cell>
          <cell r="DR120" t="str">
            <v/>
          </cell>
          <cell r="DS120" t="str">
            <v/>
          </cell>
          <cell r="DT120" t="str">
            <v/>
          </cell>
          <cell r="DU120" t="str">
            <v/>
          </cell>
          <cell r="DV120" t="str">
            <v/>
          </cell>
          <cell r="DW120"/>
          <cell r="DX120" t="str">
            <v/>
          </cell>
          <cell r="DZ120" t="str">
            <v/>
          </cell>
          <cell r="EA120" t="str">
            <v/>
          </cell>
          <cell r="EB120" t="str">
            <v/>
          </cell>
          <cell r="EC120" t="str">
            <v/>
          </cell>
          <cell r="EG120" t="str">
            <v/>
          </cell>
          <cell r="EI120" t="str">
            <v/>
          </cell>
          <cell r="EJ120" t="str">
            <v/>
          </cell>
          <cell r="EK120" t="str">
            <v/>
          </cell>
          <cell r="EL120" t="str">
            <v/>
          </cell>
          <cell r="EM120" t="str">
            <v/>
          </cell>
          <cell r="EN120" t="str">
            <v/>
          </cell>
          <cell r="EO120" t="str">
            <v/>
          </cell>
          <cell r="EZ120" t="str">
            <v/>
          </cell>
          <cell r="FC120" t="str">
            <v/>
          </cell>
          <cell r="FD120" t="str">
            <v/>
          </cell>
          <cell r="FE120" t="str">
            <v/>
          </cell>
          <cell r="FJ120" t="str">
            <v/>
          </cell>
          <cell r="FK120" t="str">
            <v/>
          </cell>
          <cell r="FL120" t="str">
            <v/>
          </cell>
          <cell r="FM120" t="str">
            <v/>
          </cell>
          <cell r="FN120" t="str">
            <v/>
          </cell>
          <cell r="FO120" t="str">
            <v/>
          </cell>
          <cell r="FP120" t="str">
            <v/>
          </cell>
          <cell r="FT120" t="str">
            <v/>
          </cell>
          <cell r="FV120" t="str">
            <v/>
          </cell>
          <cell r="FX120" t="str">
            <v/>
          </cell>
        </row>
      </sheetData>
      <sheetData sheetId="13">
        <row r="19">
          <cell r="CH19">
            <v>0</v>
          </cell>
        </row>
        <row r="20">
          <cell r="CH20">
            <v>0</v>
          </cell>
        </row>
        <row r="21">
          <cell r="CH21">
            <v>0</v>
          </cell>
        </row>
        <row r="22">
          <cell r="CH22">
            <v>0</v>
          </cell>
        </row>
        <row r="23">
          <cell r="CH23">
            <v>0</v>
          </cell>
        </row>
        <row r="24">
          <cell r="CH24">
            <v>0</v>
          </cell>
        </row>
        <row r="25">
          <cell r="CH25">
            <v>0</v>
          </cell>
        </row>
        <row r="26">
          <cell r="CH26">
            <v>0</v>
          </cell>
        </row>
        <row r="27">
          <cell r="CH27">
            <v>0</v>
          </cell>
        </row>
        <row r="28">
          <cell r="CH28">
            <v>0</v>
          </cell>
        </row>
        <row r="29">
          <cell r="CH29">
            <v>0</v>
          </cell>
        </row>
        <row r="30">
          <cell r="CH30">
            <v>0</v>
          </cell>
        </row>
        <row r="31">
          <cell r="CH31">
            <v>0</v>
          </cell>
        </row>
        <row r="32">
          <cell r="CH32">
            <v>0</v>
          </cell>
        </row>
        <row r="33">
          <cell r="CH33">
            <v>0</v>
          </cell>
        </row>
        <row r="34">
          <cell r="CH34">
            <v>0</v>
          </cell>
        </row>
        <row r="35">
          <cell r="CH35">
            <v>0</v>
          </cell>
        </row>
        <row r="36">
          <cell r="CH36">
            <v>0</v>
          </cell>
        </row>
        <row r="37">
          <cell r="CH37">
            <v>0</v>
          </cell>
        </row>
        <row r="38">
          <cell r="CH38">
            <v>0</v>
          </cell>
        </row>
        <row r="39">
          <cell r="CH39">
            <v>0</v>
          </cell>
        </row>
        <row r="40">
          <cell r="CH40">
            <v>0</v>
          </cell>
        </row>
        <row r="41">
          <cell r="CH41" t="str">
            <v/>
          </cell>
        </row>
        <row r="42">
          <cell r="CH42" t="str">
            <v/>
          </cell>
        </row>
        <row r="43">
          <cell r="CH43" t="str">
            <v/>
          </cell>
        </row>
        <row r="44">
          <cell r="CH44" t="str">
            <v/>
          </cell>
        </row>
        <row r="45">
          <cell r="CH45" t="str">
            <v/>
          </cell>
        </row>
        <row r="46">
          <cell r="CH46" t="str">
            <v/>
          </cell>
        </row>
        <row r="47">
          <cell r="CH47" t="str">
            <v/>
          </cell>
        </row>
        <row r="48">
          <cell r="CH48" t="str">
            <v/>
          </cell>
        </row>
        <row r="49">
          <cell r="CH49" t="str">
            <v/>
          </cell>
        </row>
        <row r="50">
          <cell r="CH50" t="str">
            <v/>
          </cell>
        </row>
        <row r="51">
          <cell r="CH51" t="str">
            <v/>
          </cell>
        </row>
        <row r="52">
          <cell r="CH52" t="str">
            <v/>
          </cell>
        </row>
        <row r="53">
          <cell r="CH53" t="str">
            <v/>
          </cell>
        </row>
        <row r="54">
          <cell r="CH54" t="str">
            <v/>
          </cell>
        </row>
        <row r="55">
          <cell r="CH55" t="str">
            <v/>
          </cell>
        </row>
        <row r="56">
          <cell r="CH56" t="str">
            <v/>
          </cell>
        </row>
        <row r="57">
          <cell r="CH57" t="str">
            <v/>
          </cell>
        </row>
        <row r="58">
          <cell r="CH58" t="str">
            <v/>
          </cell>
        </row>
        <row r="59">
          <cell r="CH59" t="str">
            <v/>
          </cell>
        </row>
        <row r="60">
          <cell r="CH60" t="str">
            <v/>
          </cell>
        </row>
        <row r="61">
          <cell r="CH61" t="str">
            <v/>
          </cell>
        </row>
        <row r="62">
          <cell r="CH62" t="str">
            <v/>
          </cell>
        </row>
        <row r="63">
          <cell r="CH63" t="str">
            <v/>
          </cell>
        </row>
        <row r="64">
          <cell r="CH64" t="str">
            <v/>
          </cell>
        </row>
        <row r="65">
          <cell r="CH65" t="str">
            <v/>
          </cell>
        </row>
        <row r="66">
          <cell r="CH66" t="str">
            <v/>
          </cell>
        </row>
        <row r="67">
          <cell r="CH67" t="str">
            <v/>
          </cell>
        </row>
        <row r="68">
          <cell r="CH68" t="str">
            <v/>
          </cell>
        </row>
        <row r="69">
          <cell r="CH69" t="str">
            <v/>
          </cell>
        </row>
        <row r="70">
          <cell r="CH70" t="str">
            <v/>
          </cell>
        </row>
        <row r="71">
          <cell r="CH71" t="str">
            <v/>
          </cell>
        </row>
        <row r="72">
          <cell r="CH72" t="str">
            <v/>
          </cell>
        </row>
        <row r="73">
          <cell r="CH73" t="str">
            <v/>
          </cell>
        </row>
        <row r="74">
          <cell r="CH74" t="str">
            <v/>
          </cell>
        </row>
        <row r="75">
          <cell r="CH75" t="str">
            <v/>
          </cell>
        </row>
        <row r="76">
          <cell r="CH76" t="str">
            <v/>
          </cell>
        </row>
        <row r="77">
          <cell r="CH77" t="str">
            <v/>
          </cell>
        </row>
        <row r="78">
          <cell r="CH78" t="str">
            <v/>
          </cell>
        </row>
        <row r="79">
          <cell r="CH79" t="str">
            <v/>
          </cell>
        </row>
        <row r="80">
          <cell r="CH80" t="str">
            <v/>
          </cell>
        </row>
        <row r="81">
          <cell r="CH81" t="str">
            <v/>
          </cell>
        </row>
        <row r="82">
          <cell r="CH82" t="str">
            <v/>
          </cell>
        </row>
        <row r="83">
          <cell r="CH83" t="str">
            <v/>
          </cell>
        </row>
        <row r="84">
          <cell r="CH84" t="str">
            <v/>
          </cell>
        </row>
        <row r="85">
          <cell r="CH85" t="str">
            <v/>
          </cell>
        </row>
        <row r="86">
          <cell r="CH86" t="str">
            <v/>
          </cell>
        </row>
        <row r="87">
          <cell r="CH87" t="str">
            <v/>
          </cell>
        </row>
        <row r="88">
          <cell r="CH88" t="str">
            <v/>
          </cell>
        </row>
        <row r="89">
          <cell r="CH89" t="str">
            <v/>
          </cell>
        </row>
        <row r="90">
          <cell r="CH90" t="str">
            <v/>
          </cell>
        </row>
        <row r="91">
          <cell r="CH91" t="str">
            <v/>
          </cell>
        </row>
        <row r="92">
          <cell r="CH92" t="str">
            <v/>
          </cell>
        </row>
        <row r="93">
          <cell r="CH93" t="str">
            <v/>
          </cell>
        </row>
        <row r="94">
          <cell r="CH94" t="str">
            <v/>
          </cell>
        </row>
        <row r="95">
          <cell r="CH95" t="str">
            <v/>
          </cell>
        </row>
        <row r="96">
          <cell r="CH96" t="str">
            <v/>
          </cell>
        </row>
        <row r="97">
          <cell r="CH97" t="str">
            <v/>
          </cell>
        </row>
        <row r="98">
          <cell r="CH98" t="str">
            <v/>
          </cell>
        </row>
        <row r="99">
          <cell r="CH99" t="str">
            <v/>
          </cell>
        </row>
        <row r="100">
          <cell r="CH100" t="str">
            <v/>
          </cell>
        </row>
        <row r="101">
          <cell r="CH101" t="str">
            <v/>
          </cell>
        </row>
        <row r="102">
          <cell r="CH102" t="str">
            <v/>
          </cell>
        </row>
        <row r="103">
          <cell r="CH103" t="str">
            <v/>
          </cell>
        </row>
        <row r="104">
          <cell r="CH104" t="str">
            <v/>
          </cell>
        </row>
        <row r="105">
          <cell r="CH105" t="str">
            <v/>
          </cell>
        </row>
        <row r="106">
          <cell r="CH106" t="str">
            <v/>
          </cell>
        </row>
        <row r="107">
          <cell r="CH107" t="str">
            <v/>
          </cell>
        </row>
        <row r="108">
          <cell r="CH108" t="str">
            <v/>
          </cell>
        </row>
        <row r="109">
          <cell r="CH109" t="str">
            <v/>
          </cell>
        </row>
        <row r="110">
          <cell r="CH110" t="str">
            <v/>
          </cell>
        </row>
        <row r="111">
          <cell r="CH111" t="str">
            <v/>
          </cell>
        </row>
        <row r="112">
          <cell r="CH112" t="str">
            <v/>
          </cell>
        </row>
        <row r="113">
          <cell r="CH113" t="str">
            <v/>
          </cell>
        </row>
        <row r="114">
          <cell r="CH114" t="str">
            <v/>
          </cell>
        </row>
        <row r="115">
          <cell r="CH115" t="str">
            <v/>
          </cell>
        </row>
        <row r="116">
          <cell r="CH116" t="str">
            <v/>
          </cell>
        </row>
        <row r="117">
          <cell r="CH117" t="str">
            <v/>
          </cell>
        </row>
        <row r="118">
          <cell r="CH118" t="str">
            <v/>
          </cell>
        </row>
        <row r="119">
          <cell r="CH119" t="str">
            <v/>
          </cell>
        </row>
        <row r="120">
          <cell r="CH120" t="str">
            <v/>
          </cell>
        </row>
      </sheetData>
      <sheetData sheetId="14">
        <row r="2">
          <cell r="AR2">
            <v>97</v>
          </cell>
        </row>
        <row r="6">
          <cell r="AT6">
            <v>0.2021858805359085</v>
          </cell>
          <cell r="AW6">
            <v>-2.7676531230637771</v>
          </cell>
        </row>
        <row r="15">
          <cell r="AT15">
            <v>19.612030411983124</v>
          </cell>
        </row>
        <row r="18">
          <cell r="BZ18"/>
        </row>
        <row r="19">
          <cell r="BZ19">
            <v>1</v>
          </cell>
        </row>
        <row r="20">
          <cell r="BZ20">
            <v>0.75</v>
          </cell>
        </row>
        <row r="21">
          <cell r="BZ21">
            <v>0.63749999999999996</v>
          </cell>
        </row>
        <row r="22">
          <cell r="BZ22">
            <v>0.56099999999999994</v>
          </cell>
        </row>
        <row r="23">
          <cell r="BZ23">
            <v>0.5048999999999999</v>
          </cell>
        </row>
        <row r="24">
          <cell r="BZ24">
            <v>0.47460599999999992</v>
          </cell>
        </row>
        <row r="25">
          <cell r="BZ25">
            <v>0.44612963999999994</v>
          </cell>
        </row>
        <row r="26">
          <cell r="BZ26">
            <v>0.41936186159999994</v>
          </cell>
        </row>
        <row r="27">
          <cell r="BZ27">
            <v>0.39420014990399993</v>
          </cell>
        </row>
        <row r="28">
          <cell r="BZ28">
            <v>0.37054814090975996</v>
          </cell>
        </row>
        <row r="29">
          <cell r="BZ29">
            <v>0.34831525245517436</v>
          </cell>
        </row>
        <row r="30">
          <cell r="BZ30">
            <v>0.3274163373078639</v>
          </cell>
        </row>
        <row r="31">
          <cell r="BZ31">
            <v>0.30777135706939207</v>
          </cell>
        </row>
        <row r="32">
          <cell r="BZ32">
            <v>0.28930507564522856</v>
          </cell>
        </row>
        <row r="33">
          <cell r="BZ33">
            <v>0.27194677110651483</v>
          </cell>
        </row>
        <row r="34">
          <cell r="BZ34">
            <v>0.25562996484012396</v>
          </cell>
        </row>
        <row r="35">
          <cell r="BZ35">
            <v>0.24029216694971653</v>
          </cell>
        </row>
        <row r="36">
          <cell r="BZ36">
            <v>0.22587463693273355</v>
          </cell>
        </row>
        <row r="37">
          <cell r="BZ37">
            <v>0.21232215871676954</v>
          </cell>
        </row>
        <row r="38">
          <cell r="BZ38">
            <v>0.21232215871676954</v>
          </cell>
        </row>
        <row r="39">
          <cell r="BZ39">
            <v>0.21232215871676954</v>
          </cell>
        </row>
        <row r="40">
          <cell r="BZ40">
            <v>0.21232215871676954</v>
          </cell>
        </row>
        <row r="41">
          <cell r="BZ41">
            <v>0</v>
          </cell>
        </row>
        <row r="42">
          <cell r="BZ42" t="str">
            <v/>
          </cell>
        </row>
        <row r="43">
          <cell r="BZ43" t="str">
            <v/>
          </cell>
        </row>
        <row r="44">
          <cell r="BZ44" t="str">
            <v/>
          </cell>
        </row>
        <row r="45">
          <cell r="BZ45" t="str">
            <v/>
          </cell>
        </row>
        <row r="46">
          <cell r="BZ46" t="str">
            <v/>
          </cell>
        </row>
        <row r="47">
          <cell r="BZ47" t="str">
            <v/>
          </cell>
        </row>
        <row r="48">
          <cell r="BZ48" t="str">
            <v/>
          </cell>
        </row>
        <row r="49">
          <cell r="BZ49" t="str">
            <v/>
          </cell>
        </row>
        <row r="50">
          <cell r="BZ50" t="str">
            <v/>
          </cell>
        </row>
        <row r="51">
          <cell r="BZ51" t="str">
            <v/>
          </cell>
        </row>
        <row r="52">
          <cell r="BZ52" t="str">
            <v/>
          </cell>
        </row>
        <row r="53">
          <cell r="BZ53" t="str">
            <v/>
          </cell>
        </row>
        <row r="54">
          <cell r="BZ54" t="str">
            <v/>
          </cell>
        </row>
        <row r="55">
          <cell r="BZ55" t="str">
            <v/>
          </cell>
        </row>
        <row r="56">
          <cell r="BZ56" t="str">
            <v/>
          </cell>
        </row>
        <row r="57">
          <cell r="BZ57" t="str">
            <v/>
          </cell>
        </row>
        <row r="58">
          <cell r="BZ58" t="str">
            <v/>
          </cell>
        </row>
        <row r="59">
          <cell r="BZ59" t="str">
            <v/>
          </cell>
        </row>
        <row r="60">
          <cell r="BZ60" t="str">
            <v/>
          </cell>
        </row>
        <row r="61">
          <cell r="BZ61" t="str">
            <v/>
          </cell>
        </row>
        <row r="62">
          <cell r="BZ62" t="str">
            <v/>
          </cell>
        </row>
        <row r="63">
          <cell r="BZ63" t="str">
            <v/>
          </cell>
        </row>
        <row r="64">
          <cell r="BZ64" t="str">
            <v/>
          </cell>
        </row>
        <row r="65">
          <cell r="BZ65" t="str">
            <v/>
          </cell>
        </row>
        <row r="66">
          <cell r="BZ66" t="str">
            <v/>
          </cell>
        </row>
        <row r="67">
          <cell r="BZ67" t="str">
            <v/>
          </cell>
        </row>
        <row r="68">
          <cell r="BZ68" t="str">
            <v/>
          </cell>
        </row>
        <row r="69">
          <cell r="BZ69" t="str">
            <v/>
          </cell>
        </row>
        <row r="70">
          <cell r="BZ70" t="str">
            <v/>
          </cell>
        </row>
        <row r="71">
          <cell r="BZ71" t="str">
            <v/>
          </cell>
        </row>
        <row r="72">
          <cell r="BZ72" t="str">
            <v/>
          </cell>
        </row>
        <row r="73">
          <cell r="BZ73" t="str">
            <v/>
          </cell>
        </row>
        <row r="74">
          <cell r="BZ74" t="str">
            <v/>
          </cell>
        </row>
        <row r="75">
          <cell r="BZ75" t="str">
            <v/>
          </cell>
        </row>
        <row r="76">
          <cell r="BZ76" t="str">
            <v/>
          </cell>
        </row>
        <row r="77">
          <cell r="BZ77" t="str">
            <v/>
          </cell>
        </row>
        <row r="78">
          <cell r="BZ78" t="str">
            <v/>
          </cell>
        </row>
        <row r="79">
          <cell r="BZ79" t="str">
            <v/>
          </cell>
        </row>
        <row r="80">
          <cell r="BZ80" t="str">
            <v/>
          </cell>
        </row>
        <row r="81">
          <cell r="BZ81" t="str">
            <v/>
          </cell>
        </row>
        <row r="82">
          <cell r="BZ82" t="str">
            <v/>
          </cell>
        </row>
        <row r="83">
          <cell r="BZ83" t="str">
            <v/>
          </cell>
        </row>
        <row r="84">
          <cell r="BZ84" t="str">
            <v/>
          </cell>
        </row>
        <row r="85">
          <cell r="BZ85" t="str">
            <v/>
          </cell>
        </row>
        <row r="86">
          <cell r="BZ86" t="str">
            <v/>
          </cell>
        </row>
        <row r="87">
          <cell r="BZ87" t="str">
            <v/>
          </cell>
        </row>
        <row r="88">
          <cell r="BZ88" t="str">
            <v/>
          </cell>
        </row>
        <row r="89">
          <cell r="BZ89" t="str">
            <v/>
          </cell>
        </row>
        <row r="90">
          <cell r="BZ90" t="str">
            <v/>
          </cell>
        </row>
        <row r="91">
          <cell r="BZ91" t="str">
            <v/>
          </cell>
        </row>
        <row r="92">
          <cell r="BZ92" t="str">
            <v/>
          </cell>
        </row>
        <row r="93">
          <cell r="BZ93" t="str">
            <v/>
          </cell>
        </row>
        <row r="94">
          <cell r="BZ94" t="str">
            <v/>
          </cell>
        </row>
        <row r="95">
          <cell r="BZ95" t="str">
            <v/>
          </cell>
        </row>
        <row r="96">
          <cell r="BZ96" t="str">
            <v/>
          </cell>
        </row>
        <row r="97">
          <cell r="BZ97" t="str">
            <v/>
          </cell>
        </row>
        <row r="98">
          <cell r="BZ98" t="str">
            <v/>
          </cell>
        </row>
        <row r="99">
          <cell r="BZ99" t="str">
            <v/>
          </cell>
        </row>
        <row r="100">
          <cell r="BZ100" t="str">
            <v/>
          </cell>
        </row>
        <row r="101">
          <cell r="BZ101" t="str">
            <v/>
          </cell>
        </row>
        <row r="102">
          <cell r="BZ102" t="str">
            <v/>
          </cell>
        </row>
        <row r="103">
          <cell r="BZ103" t="str">
            <v/>
          </cell>
        </row>
        <row r="104">
          <cell r="BZ104" t="str">
            <v/>
          </cell>
        </row>
        <row r="105">
          <cell r="BZ105" t="str">
            <v/>
          </cell>
        </row>
        <row r="106">
          <cell r="BZ106" t="str">
            <v/>
          </cell>
        </row>
        <row r="107">
          <cell r="BZ107" t="str">
            <v/>
          </cell>
        </row>
        <row r="108">
          <cell r="BZ108" t="str">
            <v/>
          </cell>
        </row>
        <row r="109">
          <cell r="BZ109" t="str">
            <v/>
          </cell>
        </row>
        <row r="110">
          <cell r="BZ110" t="str">
            <v/>
          </cell>
        </row>
        <row r="111">
          <cell r="BZ111" t="str">
            <v/>
          </cell>
        </row>
        <row r="112">
          <cell r="BZ112" t="str">
            <v/>
          </cell>
        </row>
        <row r="113">
          <cell r="BZ113" t="str">
            <v/>
          </cell>
        </row>
        <row r="114">
          <cell r="BZ114" t="str">
            <v/>
          </cell>
        </row>
        <row r="115">
          <cell r="BZ115" t="str">
            <v/>
          </cell>
        </row>
        <row r="116">
          <cell r="BZ116" t="str">
            <v/>
          </cell>
        </row>
        <row r="117">
          <cell r="BZ117" t="str">
            <v/>
          </cell>
        </row>
        <row r="118">
          <cell r="BZ118" t="str">
            <v/>
          </cell>
        </row>
        <row r="119">
          <cell r="BZ119" t="str">
            <v/>
          </cell>
        </row>
        <row r="120">
          <cell r="BZ120" t="str">
            <v/>
          </cell>
        </row>
      </sheetData>
      <sheetData sheetId="15">
        <row r="14">
          <cell r="J14">
            <v>3.3666616007179684E-2</v>
          </cell>
          <cell r="R14">
            <v>4.4616215432053519E-2</v>
          </cell>
        </row>
        <row r="15">
          <cell r="K15">
            <v>17</v>
          </cell>
          <cell r="Q15">
            <v>0.08</v>
          </cell>
        </row>
        <row r="23">
          <cell r="J23">
            <v>-0.18806403165781882</v>
          </cell>
          <cell r="R23">
            <v>-0.1658308651825996</v>
          </cell>
        </row>
        <row r="38">
          <cell r="J38">
            <v>1.5168260496680741E-2</v>
          </cell>
          <cell r="R38">
            <v>4.1689643307573299E-2</v>
          </cell>
        </row>
      </sheetData>
      <sheetData sheetId="16"/>
      <sheetData sheetId="17"/>
      <sheetData sheetId="18"/>
      <sheetData sheetId="19"/>
      <sheetData sheetId="20">
        <row r="7">
          <cell r="D7">
            <v>50000000</v>
          </cell>
        </row>
        <row r="10">
          <cell r="D10">
            <v>4850000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D81B-A4DA-43BA-A3D1-560E256F4720}">
  <sheetPr>
    <tabColor indexed="42"/>
  </sheetPr>
  <dimension ref="B1:BE129"/>
  <sheetViews>
    <sheetView zoomScale="85" workbookViewId="0">
      <pane xSplit="1" ySplit="7" topLeftCell="B8" activePane="bottomRight" state="frozen"/>
      <selection activeCell="H4" sqref="H4"/>
      <selection pane="topRight" activeCell="H4" sqref="H4"/>
      <selection pane="bottomLeft" activeCell="H4" sqref="H4"/>
      <selection pane="bottomRight" activeCell="R8" sqref="R8"/>
    </sheetView>
  </sheetViews>
  <sheetFormatPr defaultRowHeight="12.75" x14ac:dyDescent="0.2"/>
  <cols>
    <col min="1" max="1" width="9.140625" style="20"/>
    <col min="2" max="2" width="8.28515625" style="20" customWidth="1"/>
    <col min="3" max="3" width="12.140625" style="20" bestFit="1" customWidth="1"/>
    <col min="4" max="4" width="11.7109375" style="20" bestFit="1" customWidth="1"/>
    <col min="5" max="5" width="12.140625" style="20" bestFit="1" customWidth="1"/>
    <col min="6" max="6" width="14.85546875" style="20" customWidth="1"/>
    <col min="7" max="7" width="15.7109375" style="20" customWidth="1"/>
    <col min="8" max="8" width="15" style="20" customWidth="1"/>
    <col min="9" max="9" width="12.140625" style="20" bestFit="1" customWidth="1"/>
    <col min="10" max="10" width="11.7109375" style="20" bestFit="1" customWidth="1"/>
    <col min="11" max="11" width="12" style="20" customWidth="1"/>
    <col min="12" max="12" width="12.28515625" style="20" customWidth="1"/>
    <col min="13" max="13" width="11.140625" style="20" customWidth="1"/>
    <col min="14" max="14" width="11.42578125" style="20" bestFit="1" customWidth="1"/>
    <col min="15" max="15" width="11.140625" style="20" customWidth="1"/>
    <col min="16" max="16" width="11.42578125" style="20" bestFit="1" customWidth="1"/>
    <col min="17" max="17" width="11.140625" style="20" customWidth="1"/>
    <col min="18" max="18" width="11.42578125" style="20" bestFit="1" customWidth="1"/>
    <col min="19" max="19" width="11.140625" style="20" customWidth="1"/>
    <col min="20" max="20" width="11.42578125" style="20" bestFit="1" customWidth="1"/>
    <col min="21" max="22" width="11.140625" style="20" customWidth="1"/>
    <col min="23" max="41" width="9.140625" style="20"/>
    <col min="42" max="46" width="8" style="20" customWidth="1"/>
    <col min="47" max="48" width="9.140625" style="20"/>
    <col min="49" max="53" width="7.140625" style="20" customWidth="1"/>
    <col min="54" max="55" width="9.140625" style="20"/>
    <col min="56" max="57" width="7.140625" style="20" customWidth="1"/>
    <col min="58" max="16384" width="9.140625" style="20"/>
  </cols>
  <sheetData>
    <row r="1" spans="2:57" x14ac:dyDescent="0.2">
      <c r="F1" s="20" t="s">
        <v>12</v>
      </c>
      <c r="G1" s="21">
        <v>1</v>
      </c>
      <c r="H1" s="20">
        <f>G1</f>
        <v>1</v>
      </c>
      <c r="I1" s="21">
        <v>1</v>
      </c>
      <c r="J1" s="20">
        <f>I1</f>
        <v>1</v>
      </c>
      <c r="K1" s="21">
        <v>1</v>
      </c>
      <c r="L1" s="20">
        <f>K1</f>
        <v>1</v>
      </c>
    </row>
    <row r="2" spans="2:57" x14ac:dyDescent="0.2">
      <c r="B2" s="22" t="s">
        <v>13</v>
      </c>
      <c r="F2" s="23" t="s">
        <v>14</v>
      </c>
      <c r="G2" s="23"/>
      <c r="H2" s="23">
        <v>0</v>
      </c>
      <c r="AO2" s="22" t="s">
        <v>15</v>
      </c>
      <c r="AV2" s="22" t="s">
        <v>15</v>
      </c>
      <c r="BC2" s="22" t="s">
        <v>16</v>
      </c>
    </row>
    <row r="3" spans="2:57" ht="3.75" customHeight="1" x14ac:dyDescent="0.2">
      <c r="B3" s="22"/>
      <c r="AO3" s="22"/>
      <c r="AV3" s="22"/>
      <c r="BC3" s="22"/>
    </row>
    <row r="4" spans="2:57" x14ac:dyDescent="0.2">
      <c r="B4" s="22"/>
      <c r="F4" s="20" t="s">
        <v>17</v>
      </c>
      <c r="G4" s="23">
        <v>0.9</v>
      </c>
      <c r="H4" s="23">
        <f>G4</f>
        <v>0.9</v>
      </c>
      <c r="AO4" s="22"/>
      <c r="AV4" s="22"/>
      <c r="BC4" s="22"/>
    </row>
    <row r="5" spans="2:57" x14ac:dyDescent="0.2">
      <c r="F5" s="20" t="s">
        <v>18</v>
      </c>
      <c r="G5" s="23">
        <v>1.2</v>
      </c>
      <c r="H5" s="23">
        <f>G5</f>
        <v>1.2</v>
      </c>
      <c r="I5" s="23">
        <v>1</v>
      </c>
      <c r="J5" s="23">
        <f>I5</f>
        <v>1</v>
      </c>
      <c r="K5" s="24">
        <f>90%/80%</f>
        <v>1.125</v>
      </c>
      <c r="L5" s="24">
        <f>K5</f>
        <v>1.125</v>
      </c>
      <c r="AR5" s="25"/>
    </row>
    <row r="6" spans="2:57" x14ac:dyDescent="0.2">
      <c r="B6" s="26" t="s">
        <v>8</v>
      </c>
      <c r="C6" s="26">
        <v>1</v>
      </c>
      <c r="D6" s="26">
        <f t="shared" ref="D6:AL6" si="0">C6+1</f>
        <v>2</v>
      </c>
      <c r="E6" s="26">
        <f t="shared" si="0"/>
        <v>3</v>
      </c>
      <c r="F6" s="26">
        <f t="shared" si="0"/>
        <v>4</v>
      </c>
      <c r="G6" s="27">
        <f t="shared" si="0"/>
        <v>5</v>
      </c>
      <c r="H6" s="27">
        <f t="shared" si="0"/>
        <v>6</v>
      </c>
      <c r="I6" s="27">
        <f t="shared" si="0"/>
        <v>7</v>
      </c>
      <c r="J6" s="27">
        <f t="shared" si="0"/>
        <v>8</v>
      </c>
      <c r="K6" s="27">
        <f t="shared" si="0"/>
        <v>9</v>
      </c>
      <c r="L6" s="27">
        <f t="shared" si="0"/>
        <v>10</v>
      </c>
      <c r="M6" s="26">
        <f t="shared" si="0"/>
        <v>11</v>
      </c>
      <c r="N6" s="26">
        <f t="shared" si="0"/>
        <v>12</v>
      </c>
      <c r="O6" s="26">
        <f t="shared" si="0"/>
        <v>13</v>
      </c>
      <c r="P6" s="26">
        <f t="shared" si="0"/>
        <v>14</v>
      </c>
      <c r="Q6" s="26">
        <f t="shared" si="0"/>
        <v>15</v>
      </c>
      <c r="R6" s="26">
        <f t="shared" si="0"/>
        <v>16</v>
      </c>
      <c r="S6" s="26">
        <f t="shared" si="0"/>
        <v>17</v>
      </c>
      <c r="T6" s="26">
        <f t="shared" si="0"/>
        <v>18</v>
      </c>
      <c r="U6" s="26">
        <f>T6+1</f>
        <v>19</v>
      </c>
      <c r="V6" s="26">
        <f>U6+1</f>
        <v>20</v>
      </c>
      <c r="W6" s="26">
        <f t="shared" si="0"/>
        <v>21</v>
      </c>
      <c r="X6" s="26">
        <f t="shared" si="0"/>
        <v>22</v>
      </c>
      <c r="Y6" s="26">
        <f t="shared" si="0"/>
        <v>23</v>
      </c>
      <c r="Z6" s="26">
        <f t="shared" si="0"/>
        <v>24</v>
      </c>
      <c r="AA6" s="26">
        <f t="shared" si="0"/>
        <v>25</v>
      </c>
      <c r="AB6" s="26">
        <f t="shared" si="0"/>
        <v>26</v>
      </c>
      <c r="AC6" s="26">
        <f t="shared" si="0"/>
        <v>27</v>
      </c>
      <c r="AD6" s="26">
        <f t="shared" si="0"/>
        <v>28</v>
      </c>
      <c r="AE6" s="26">
        <f t="shared" si="0"/>
        <v>29</v>
      </c>
      <c r="AF6" s="26">
        <f t="shared" si="0"/>
        <v>30</v>
      </c>
      <c r="AG6" s="26">
        <f t="shared" si="0"/>
        <v>31</v>
      </c>
      <c r="AH6" s="26">
        <f t="shared" si="0"/>
        <v>32</v>
      </c>
      <c r="AI6" s="26">
        <f t="shared" si="0"/>
        <v>33</v>
      </c>
      <c r="AJ6" s="26">
        <f t="shared" si="0"/>
        <v>34</v>
      </c>
      <c r="AK6" s="26">
        <f t="shared" si="0"/>
        <v>35</v>
      </c>
      <c r="AL6" s="26">
        <f t="shared" si="0"/>
        <v>36</v>
      </c>
      <c r="AO6" s="26" t="s">
        <v>19</v>
      </c>
      <c r="AP6" s="26">
        <v>1</v>
      </c>
      <c r="AQ6" s="26">
        <f>AP6+1</f>
        <v>2</v>
      </c>
      <c r="AR6" s="26">
        <f>AQ6+1</f>
        <v>3</v>
      </c>
      <c r="AS6" s="26">
        <f>AR6+1</f>
        <v>4</v>
      </c>
      <c r="AT6" s="26">
        <f>AS6+1</f>
        <v>5</v>
      </c>
      <c r="AV6" s="26" t="s">
        <v>19</v>
      </c>
      <c r="AW6" s="26">
        <v>1</v>
      </c>
      <c r="AX6" s="26">
        <f>AW6+1</f>
        <v>2</v>
      </c>
      <c r="AY6" s="26">
        <f>AX6+1</f>
        <v>3</v>
      </c>
      <c r="AZ6" s="26">
        <f>AY6+1</f>
        <v>4</v>
      </c>
      <c r="BA6" s="26">
        <f>AZ6+1</f>
        <v>5</v>
      </c>
      <c r="BC6" s="26" t="s">
        <v>19</v>
      </c>
      <c r="BD6" s="26">
        <v>1</v>
      </c>
      <c r="BE6" s="26">
        <f>BD6+1</f>
        <v>2</v>
      </c>
    </row>
    <row r="7" spans="2:57" s="28" customFormat="1" ht="39.75" customHeight="1" thickBot="1" x14ac:dyDescent="0.25">
      <c r="C7" s="29" t="s">
        <v>20</v>
      </c>
      <c r="D7" s="29" t="s">
        <v>21</v>
      </c>
      <c r="E7" s="30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 t="s">
        <v>27</v>
      </c>
      <c r="K7" s="30" t="s">
        <v>28</v>
      </c>
      <c r="L7" s="30" t="s">
        <v>29</v>
      </c>
      <c r="M7" s="30" t="s">
        <v>30</v>
      </c>
      <c r="N7" s="30" t="s">
        <v>31</v>
      </c>
      <c r="O7" s="30" t="s">
        <v>32</v>
      </c>
      <c r="P7" s="30" t="s">
        <v>33</v>
      </c>
      <c r="Q7" s="30" t="s">
        <v>34</v>
      </c>
      <c r="R7" s="30" t="s">
        <v>35</v>
      </c>
      <c r="S7" s="30" t="s">
        <v>36</v>
      </c>
      <c r="T7" s="30" t="s">
        <v>36</v>
      </c>
      <c r="U7" s="30"/>
      <c r="V7" s="30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31" t="s">
        <v>37</v>
      </c>
      <c r="AP7" s="32"/>
      <c r="AQ7" s="32"/>
      <c r="AR7" s="32"/>
      <c r="AS7" s="32"/>
      <c r="AT7" s="32"/>
      <c r="AW7" s="32"/>
      <c r="AX7" s="32"/>
      <c r="AY7" s="32"/>
      <c r="AZ7" s="32"/>
      <c r="BA7" s="32"/>
      <c r="BD7" s="32"/>
      <c r="BE7" s="32"/>
    </row>
    <row r="8" spans="2:57" x14ac:dyDescent="0.2">
      <c r="B8" s="20">
        <v>0</v>
      </c>
      <c r="C8" s="33">
        <v>2.63E-3</v>
      </c>
      <c r="D8" s="34">
        <v>1.8799999999999999E-3</v>
      </c>
      <c r="E8" s="34">
        <v>1.818E-3</v>
      </c>
      <c r="F8" s="34">
        <v>1.402E-3</v>
      </c>
      <c r="G8" s="34">
        <f>(M8*($G$4+$H$2)+$G$5*O8)*(IF(B8&gt;=Age,$G$1*VLOOKUP('Q-Rates'!B8-Age+1,'Q-Rates'!$BC$8:$BD$128,2,0),1))</f>
        <v>0</v>
      </c>
      <c r="H8" s="34">
        <f>(N8*($H$4+$H$2)+$H$5*P8)*(IF(B8&gt;=Age,$G$1*VLOOKUP('Q-Rates'!B8-Age+1,'Q-Rates'!$BC$8:$BD$128,2,0),1))</f>
        <v>0</v>
      </c>
      <c r="I8" s="34">
        <f t="shared" ref="I8:I25" si="1">(Q8*$I$5)</f>
        <v>0</v>
      </c>
      <c r="J8" s="34">
        <f>(R8*$J$5)</f>
        <v>0</v>
      </c>
      <c r="K8" s="34">
        <f>(S8*$K$5)*(IF(B8&gt;=Age,$K$1*VLOOKUP('Q-Rates'!B8-Age+1,'Q-Rates'!$BC$8:$BD$128,2,0),1))</f>
        <v>0</v>
      </c>
      <c r="L8" s="34">
        <f>(T8*$L$5)*(IF(B8&gt;=Age,$L$1*VLOOKUP('Q-Rates'!B8-Age+1,'Q-Rates'!$BC$8:$BD$128,2,0),1))</f>
        <v>0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6">
        <v>0</v>
      </c>
      <c r="AO8" s="20">
        <v>1</v>
      </c>
      <c r="AP8" s="37">
        <v>0.03</v>
      </c>
      <c r="AQ8" s="38">
        <v>0.25</v>
      </c>
      <c r="AR8" s="38">
        <f>IF($AO8&gt;[1]Basic!$D$29,0,VLOOKUP(MIN($AO8,6),[1]Specs!$Q$5:$R$11,2,0))</f>
        <v>0.25</v>
      </c>
      <c r="AS8" s="38">
        <v>0.25</v>
      </c>
      <c r="AT8" s="39">
        <f t="shared" ref="AT8:AT71" si="2">IF(AO8&gt;PolicyTerm-2,0,3%)</f>
        <v>0.03</v>
      </c>
      <c r="AV8" s="20">
        <v>1</v>
      </c>
      <c r="AW8" s="40">
        <f t="shared" ref="AW8:AW39" si="3">AP8*Lapse_Sens</f>
        <v>0.03</v>
      </c>
      <c r="AX8" s="41">
        <f t="shared" ref="AX8:AX39" si="4">AQ8*Lapse_Sens</f>
        <v>0.25</v>
      </c>
      <c r="AY8" s="41">
        <f t="shared" ref="AY8:AY39" si="5">AR8*Lapse_Sens</f>
        <v>0.25</v>
      </c>
      <c r="AZ8" s="41">
        <f t="shared" ref="AZ8:AZ39" si="6">AS8*Lapse_Sens</f>
        <v>0.25</v>
      </c>
      <c r="BA8" s="42">
        <f t="shared" ref="BA8:BA39" si="7">AT8*Lapse_Sens</f>
        <v>0.03</v>
      </c>
      <c r="BC8" s="20">
        <v>1</v>
      </c>
      <c r="BD8" s="43">
        <v>0.5</v>
      </c>
      <c r="BE8" s="42"/>
    </row>
    <row r="9" spans="2:57" x14ac:dyDescent="0.2">
      <c r="B9" s="20">
        <f t="shared" ref="B9:B72" si="8">B8+1</f>
        <v>1</v>
      </c>
      <c r="C9" s="44">
        <v>1.0300000000000001E-3</v>
      </c>
      <c r="D9" s="45">
        <v>8.4000000000000003E-4</v>
      </c>
      <c r="E9" s="45">
        <v>1.47E-3</v>
      </c>
      <c r="F9" s="45">
        <v>1.1040000000000002E-3</v>
      </c>
      <c r="G9" s="45">
        <f>(M9*($G$4+$H$2)+$G$5*O9)*(IF(B9&gt;=Age,$G$1*VLOOKUP('Q-Rates'!B9-Age+1,'Q-Rates'!$BC$8:$BD$128,2,0),1))</f>
        <v>0</v>
      </c>
      <c r="H9" s="45">
        <f>(N9*($H$4+$H$2)+$H$5*P9)*(IF(B9&gt;=Age,$G$1*VLOOKUP('Q-Rates'!B9-Age+1,'Q-Rates'!$BC$8:$BD$128,2,0),1))</f>
        <v>0</v>
      </c>
      <c r="I9" s="45">
        <f t="shared" si="1"/>
        <v>0</v>
      </c>
      <c r="J9" s="45">
        <f t="shared" ref="J9:J72" si="9">(R9*$J$5)</f>
        <v>0</v>
      </c>
      <c r="K9" s="45">
        <f>(S9*$K$5)*(IF(B9&gt;=Age,$K$1*VLOOKUP('Q-Rates'!B9-Age+1,'Q-Rates'!$BC$8:$BD$128,2,0),1))</f>
        <v>0</v>
      </c>
      <c r="L9" s="45">
        <f>(T9*$L$5)*(IF(B9&gt;=Age,$L$1*VLOOKUP('Q-Rates'!B9-Age+1,'Q-Rates'!$BC$8:$BD$128,2,0),1))</f>
        <v>0</v>
      </c>
      <c r="M9" s="45"/>
      <c r="N9" s="45"/>
      <c r="O9" s="45"/>
      <c r="P9" s="45"/>
      <c r="Q9" s="45"/>
      <c r="R9" s="45"/>
      <c r="S9" s="45"/>
      <c r="T9" s="45"/>
      <c r="U9" s="45"/>
      <c r="V9" s="45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7">
        <v>0</v>
      </c>
      <c r="AO9" s="20">
        <f t="shared" ref="AO9:AO72" si="10">AO8+1</f>
        <v>2</v>
      </c>
      <c r="AP9" s="48">
        <v>0.03</v>
      </c>
      <c r="AQ9" s="49">
        <v>0.18</v>
      </c>
      <c r="AR9" s="49">
        <f>IF($AO9&gt;[1]Basic!$D$29,0,VLOOKUP(MIN($AO9,6),[1]Specs!$Q$5:$R$11,2,0))</f>
        <v>0.15</v>
      </c>
      <c r="AS9" s="49">
        <v>0.2</v>
      </c>
      <c r="AT9" s="50">
        <f t="shared" si="2"/>
        <v>0.03</v>
      </c>
      <c r="AV9" s="20">
        <f t="shared" ref="AV9:AV72" si="11">AV8+1</f>
        <v>2</v>
      </c>
      <c r="AW9" s="51">
        <f t="shared" si="3"/>
        <v>0.03</v>
      </c>
      <c r="AX9" s="23">
        <f t="shared" si="4"/>
        <v>0.18</v>
      </c>
      <c r="AY9" s="23">
        <f t="shared" si="5"/>
        <v>0.15</v>
      </c>
      <c r="AZ9" s="23">
        <f t="shared" si="6"/>
        <v>0.2</v>
      </c>
      <c r="BA9" s="52">
        <f t="shared" si="7"/>
        <v>0.03</v>
      </c>
      <c r="BC9" s="20">
        <f t="shared" ref="BC9:BC72" si="12">BC8+1</f>
        <v>2</v>
      </c>
      <c r="BD9" s="53">
        <f>BD8+10%</f>
        <v>0.6</v>
      </c>
      <c r="BE9" s="52"/>
    </row>
    <row r="10" spans="2:57" x14ac:dyDescent="0.2">
      <c r="B10" s="20">
        <f t="shared" si="8"/>
        <v>2</v>
      </c>
      <c r="C10" s="44">
        <v>9.8999999999999999E-4</v>
      </c>
      <c r="D10" s="45">
        <v>8.0000000000000004E-4</v>
      </c>
      <c r="E10" s="45">
        <v>1.374E-3</v>
      </c>
      <c r="F10" s="45">
        <v>1.0220000000000001E-3</v>
      </c>
      <c r="G10" s="45">
        <f>(M10*($G$4+$H$2)+$G$5*O10)*(IF(B10&gt;=Age,$G$1*VLOOKUP('Q-Rates'!B10-Age+1,'Q-Rates'!$BC$8:$BD$128,2,0),1))</f>
        <v>0</v>
      </c>
      <c r="H10" s="45">
        <f>(N10*($H$4+$H$2)+$H$5*P10)*(IF(B10&gt;=Age,$G$1*VLOOKUP('Q-Rates'!B10-Age+1,'Q-Rates'!$BC$8:$BD$128,2,0),1))</f>
        <v>0</v>
      </c>
      <c r="I10" s="45">
        <f t="shared" si="1"/>
        <v>0</v>
      </c>
      <c r="J10" s="45">
        <f t="shared" si="9"/>
        <v>0</v>
      </c>
      <c r="K10" s="45">
        <f>(S10*$K$5)*(IF(B10&gt;=Age,$K$1*VLOOKUP('Q-Rates'!B10-Age+1,'Q-Rates'!$BC$8:$BD$128,2,0),1))</f>
        <v>0</v>
      </c>
      <c r="L10" s="45">
        <f>(T10*$L$5)*(IF(B10&gt;=Age,$L$1*VLOOKUP('Q-Rates'!B10-Age+1,'Q-Rates'!$BC$8:$BD$128,2,0),1))</f>
        <v>0</v>
      </c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7">
        <v>0</v>
      </c>
      <c r="AO10" s="20">
        <f t="shared" si="10"/>
        <v>3</v>
      </c>
      <c r="AP10" s="48">
        <v>0.03</v>
      </c>
      <c r="AQ10" s="49">
        <v>0.12</v>
      </c>
      <c r="AR10" s="49">
        <f>IF($AO10&gt;[1]Basic!$D$29,0,VLOOKUP(MIN($AO10,6),[1]Specs!$Q$5:$R$11,2,0))</f>
        <v>0.12</v>
      </c>
      <c r="AS10" s="49">
        <v>0.15</v>
      </c>
      <c r="AT10" s="50">
        <f t="shared" si="2"/>
        <v>0.03</v>
      </c>
      <c r="AV10" s="20">
        <f t="shared" si="11"/>
        <v>3</v>
      </c>
      <c r="AW10" s="51">
        <f t="shared" si="3"/>
        <v>0.03</v>
      </c>
      <c r="AX10" s="23">
        <f t="shared" si="4"/>
        <v>0.12</v>
      </c>
      <c r="AY10" s="23">
        <f t="shared" si="5"/>
        <v>0.12</v>
      </c>
      <c r="AZ10" s="23">
        <f t="shared" si="6"/>
        <v>0.15</v>
      </c>
      <c r="BA10" s="52">
        <f t="shared" si="7"/>
        <v>0.03</v>
      </c>
      <c r="BC10" s="20">
        <f t="shared" si="12"/>
        <v>3</v>
      </c>
      <c r="BD10" s="53">
        <f>BD9+10%</f>
        <v>0.7</v>
      </c>
      <c r="BE10" s="52"/>
    </row>
    <row r="11" spans="2:57" x14ac:dyDescent="0.2">
      <c r="B11" s="20">
        <f t="shared" si="8"/>
        <v>3</v>
      </c>
      <c r="C11" s="44">
        <v>9.7000000000000005E-4</v>
      </c>
      <c r="D11" s="45">
        <v>7.7999999999999999E-4</v>
      </c>
      <c r="E11" s="45">
        <v>1.276E-3</v>
      </c>
      <c r="F11" s="45">
        <v>9.4400000000000018E-4</v>
      </c>
      <c r="G11" s="45">
        <f>(M11*($G$4+$H$2)+$G$5*O11)*(IF(B11&gt;=Age,$G$1*VLOOKUP('Q-Rates'!B11-Age+1,'Q-Rates'!$BC$8:$BD$128,2,0),1))</f>
        <v>0</v>
      </c>
      <c r="H11" s="45">
        <f>(N11*($H$4+$H$2)+$H$5*P11)*(IF(B11&gt;=Age,$G$1*VLOOKUP('Q-Rates'!B11-Age+1,'Q-Rates'!$BC$8:$BD$128,2,0),1))</f>
        <v>0</v>
      </c>
      <c r="I11" s="45">
        <f t="shared" si="1"/>
        <v>0</v>
      </c>
      <c r="J11" s="45">
        <f t="shared" si="9"/>
        <v>0</v>
      </c>
      <c r="K11" s="45">
        <f>(S11*$K$5)*(IF(B11&gt;=Age,$K$1*VLOOKUP('Q-Rates'!B11-Age+1,'Q-Rates'!$BC$8:$BD$128,2,0),1))</f>
        <v>0</v>
      </c>
      <c r="L11" s="45">
        <f>(T11*$L$5)*(IF(B11&gt;=Age,$L$1*VLOOKUP('Q-Rates'!B11-Age+1,'Q-Rates'!$BC$8:$BD$128,2,0),1))</f>
        <v>0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7">
        <v>0</v>
      </c>
      <c r="AO11" s="20">
        <f t="shared" si="10"/>
        <v>4</v>
      </c>
      <c r="AP11" s="48">
        <v>0</v>
      </c>
      <c r="AQ11" s="49">
        <v>0.08</v>
      </c>
      <c r="AR11" s="49">
        <f>IF($AO11&gt;[1]Basic!$D$29,0,VLOOKUP(MIN($AO11,6),[1]Specs!$Q$5:$R$11,2,0))</f>
        <v>0.1</v>
      </c>
      <c r="AS11" s="49">
        <v>0.1</v>
      </c>
      <c r="AT11" s="50">
        <f t="shared" si="2"/>
        <v>0.03</v>
      </c>
      <c r="AV11" s="20">
        <f t="shared" si="11"/>
        <v>4</v>
      </c>
      <c r="AW11" s="51">
        <f t="shared" si="3"/>
        <v>0</v>
      </c>
      <c r="AX11" s="23">
        <f t="shared" si="4"/>
        <v>0.08</v>
      </c>
      <c r="AY11" s="23">
        <f t="shared" si="5"/>
        <v>0.1</v>
      </c>
      <c r="AZ11" s="23">
        <f t="shared" si="6"/>
        <v>0.1</v>
      </c>
      <c r="BA11" s="52">
        <f t="shared" si="7"/>
        <v>0.03</v>
      </c>
      <c r="BC11" s="20">
        <f t="shared" si="12"/>
        <v>4</v>
      </c>
      <c r="BD11" s="53">
        <f>BD10+10%</f>
        <v>0.79999999999999993</v>
      </c>
      <c r="BE11" s="52"/>
    </row>
    <row r="12" spans="2:57" x14ac:dyDescent="0.2">
      <c r="B12" s="20">
        <f t="shared" si="8"/>
        <v>4</v>
      </c>
      <c r="C12" s="44">
        <v>9.3000000000000005E-4</v>
      </c>
      <c r="D12" s="45">
        <v>7.6999999999999996E-4</v>
      </c>
      <c r="E12" s="45">
        <v>1.1259999999999998E-3</v>
      </c>
      <c r="F12" s="45">
        <v>8.5400000000000005E-4</v>
      </c>
      <c r="G12" s="45">
        <f>(M12*($G$4+$H$2)+$G$5*O12)*(IF(B12&gt;=Age,$G$1*VLOOKUP('Q-Rates'!B12-Age+1,'Q-Rates'!$BC$8:$BD$128,2,0),1))</f>
        <v>0</v>
      </c>
      <c r="H12" s="45">
        <f>(N12*($H$4+$H$2)+$H$5*P12)*(IF(B12&gt;=Age,$G$1*VLOOKUP('Q-Rates'!B12-Age+1,'Q-Rates'!$BC$8:$BD$128,2,0),1))</f>
        <v>0</v>
      </c>
      <c r="I12" s="45">
        <f t="shared" si="1"/>
        <v>0</v>
      </c>
      <c r="J12" s="45">
        <f t="shared" si="9"/>
        <v>0</v>
      </c>
      <c r="K12" s="45">
        <f>(S12*$K$5)*(IF(B12&gt;=Age,$K$1*VLOOKUP('Q-Rates'!B12-Age+1,'Q-Rates'!$BC$8:$BD$128,2,0),1))</f>
        <v>0</v>
      </c>
      <c r="L12" s="45">
        <f>(T12*$L$5)*(IF(B12&gt;=Age,$L$1*VLOOKUP('Q-Rates'!B12-Age+1,'Q-Rates'!$BC$8:$BD$128,2,0),1))</f>
        <v>0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7">
        <v>0</v>
      </c>
      <c r="AO12" s="20">
        <f t="shared" si="10"/>
        <v>5</v>
      </c>
      <c r="AP12" s="48">
        <v>0</v>
      </c>
      <c r="AQ12" s="49">
        <v>0.1</v>
      </c>
      <c r="AR12" s="49">
        <f>IF($AO12&gt;[1]Basic!$D$29,0,VLOOKUP(MIN($AO12,6),[1]Specs!$Q$5:$R$11,2,0))</f>
        <v>0.06</v>
      </c>
      <c r="AS12" s="49">
        <v>0.08</v>
      </c>
      <c r="AT12" s="50">
        <f t="shared" si="2"/>
        <v>0.03</v>
      </c>
      <c r="AV12" s="20">
        <f t="shared" si="11"/>
        <v>5</v>
      </c>
      <c r="AW12" s="51">
        <f t="shared" si="3"/>
        <v>0</v>
      </c>
      <c r="AX12" s="23">
        <f t="shared" si="4"/>
        <v>0.1</v>
      </c>
      <c r="AY12" s="23">
        <f t="shared" si="5"/>
        <v>0.06</v>
      </c>
      <c r="AZ12" s="23">
        <f t="shared" si="6"/>
        <v>0.08</v>
      </c>
      <c r="BA12" s="52">
        <f t="shared" si="7"/>
        <v>0.03</v>
      </c>
      <c r="BC12" s="20">
        <f t="shared" si="12"/>
        <v>5</v>
      </c>
      <c r="BD12" s="53">
        <f>BD11+10%</f>
        <v>0.89999999999999991</v>
      </c>
      <c r="BE12" s="52"/>
    </row>
    <row r="13" spans="2:57" x14ac:dyDescent="0.2">
      <c r="B13" s="20">
        <f t="shared" si="8"/>
        <v>5</v>
      </c>
      <c r="C13" s="44">
        <v>8.8000000000000003E-4</v>
      </c>
      <c r="D13" s="45">
        <v>7.5000000000000002E-4</v>
      </c>
      <c r="E13" s="45">
        <v>9.5E-4</v>
      </c>
      <c r="F13" s="45">
        <v>7.1400000000000001E-4</v>
      </c>
      <c r="G13" s="45">
        <f>(M13*($G$4+$H$2)+$G$5*O13)*(IF(B13&gt;=Age,$G$1*VLOOKUP('Q-Rates'!B13-Age+1,'Q-Rates'!$BC$8:$BD$128,2,0),1))</f>
        <v>0</v>
      </c>
      <c r="H13" s="45">
        <f>(N13*($H$4+$H$2)+$H$5*P13)*(IF(B13&gt;=Age,$G$1*VLOOKUP('Q-Rates'!B13-Age+1,'Q-Rates'!$BC$8:$BD$128,2,0),1))</f>
        <v>0</v>
      </c>
      <c r="I13" s="45">
        <f t="shared" si="1"/>
        <v>0</v>
      </c>
      <c r="J13" s="45">
        <f t="shared" si="9"/>
        <v>0</v>
      </c>
      <c r="K13" s="45">
        <f>(S13*$K$5)*(IF(B13&gt;=Age,$K$1*VLOOKUP('Q-Rates'!B13-Age+1,'Q-Rates'!$BC$8:$BD$128,2,0),1))</f>
        <v>0</v>
      </c>
      <c r="L13" s="45">
        <f>(T13*$L$5)*(IF(B13&gt;=Age,$L$1*VLOOKUP('Q-Rates'!B13-Age+1,'Q-Rates'!$BC$8:$BD$128,2,0),1))</f>
        <v>0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>
        <v>0</v>
      </c>
      <c r="AO13" s="20">
        <f t="shared" si="10"/>
        <v>6</v>
      </c>
      <c r="AP13" s="48">
        <v>0</v>
      </c>
      <c r="AQ13" s="49">
        <v>0.1</v>
      </c>
      <c r="AR13" s="49">
        <f>IF($AO13&gt;[1]Basic!$D$29,0,VLOOKUP(MIN($AO13,6),[1]Specs!$Q$5:$R$11,2,0))</f>
        <v>0.06</v>
      </c>
      <c r="AS13" s="49">
        <v>0.08</v>
      </c>
      <c r="AT13" s="50">
        <f t="shared" si="2"/>
        <v>0.03</v>
      </c>
      <c r="AV13" s="20">
        <f t="shared" si="11"/>
        <v>6</v>
      </c>
      <c r="AW13" s="51">
        <f t="shared" si="3"/>
        <v>0</v>
      </c>
      <c r="AX13" s="23">
        <f t="shared" si="4"/>
        <v>0.1</v>
      </c>
      <c r="AY13" s="23">
        <f t="shared" si="5"/>
        <v>0.06</v>
      </c>
      <c r="AZ13" s="23">
        <f t="shared" si="6"/>
        <v>0.08</v>
      </c>
      <c r="BA13" s="52">
        <f t="shared" si="7"/>
        <v>0.03</v>
      </c>
      <c r="BC13" s="20">
        <f t="shared" si="12"/>
        <v>6</v>
      </c>
      <c r="BD13" s="54">
        <f>BD12+10%</f>
        <v>0.99999999999999989</v>
      </c>
      <c r="BE13" s="52"/>
    </row>
    <row r="14" spans="2:57" x14ac:dyDescent="0.2">
      <c r="B14" s="20">
        <f t="shared" si="8"/>
        <v>6</v>
      </c>
      <c r="C14" s="44">
        <v>8.3000000000000001E-4</v>
      </c>
      <c r="D14" s="45">
        <v>7.2999999999999996E-4</v>
      </c>
      <c r="E14" s="45">
        <v>8.8399999999999991E-4</v>
      </c>
      <c r="F14" s="45">
        <v>6.7599999999999995E-4</v>
      </c>
      <c r="G14" s="45">
        <f>(M14*($G$4+$H$2)+$G$5*O14)*(IF(B14&gt;=Age,$G$1*VLOOKUP('Q-Rates'!B14-Age+1,'Q-Rates'!$BC$8:$BD$128,2,0),1))</f>
        <v>0</v>
      </c>
      <c r="H14" s="45">
        <f>(N14*($H$4+$H$2)+$H$5*P14)*(IF(B14&gt;=Age,$G$1*VLOOKUP('Q-Rates'!B14-Age+1,'Q-Rates'!$BC$8:$BD$128,2,0),1))</f>
        <v>0</v>
      </c>
      <c r="I14" s="45">
        <f t="shared" si="1"/>
        <v>0</v>
      </c>
      <c r="J14" s="45">
        <f t="shared" si="9"/>
        <v>0</v>
      </c>
      <c r="K14" s="45">
        <f>(S14*$K$5)*(IF(B14&gt;=Age,$K$1*VLOOKUP('Q-Rates'!B14-Age+1,'Q-Rates'!$BC$8:$BD$128,2,0),1))</f>
        <v>0</v>
      </c>
      <c r="L14" s="45">
        <f>(T14*$L$5)*(IF(B14&gt;=Age,$L$1*VLOOKUP('Q-Rates'!B14-Age+1,'Q-Rates'!$BC$8:$BD$128,2,0),1))</f>
        <v>0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>
        <v>0</v>
      </c>
      <c r="AO14" s="20">
        <f t="shared" si="10"/>
        <v>7</v>
      </c>
      <c r="AP14" s="48">
        <v>0</v>
      </c>
      <c r="AQ14" s="49">
        <v>0.1</v>
      </c>
      <c r="AR14" s="49">
        <f>IF($AO14&gt;[1]Basic!$D$29,0,VLOOKUP(MIN($AO14,6),[1]Specs!$Q$5:$R$11,2,0))</f>
        <v>0.06</v>
      </c>
      <c r="AS14" s="49">
        <v>0.08</v>
      </c>
      <c r="AT14" s="50">
        <f t="shared" si="2"/>
        <v>0.03</v>
      </c>
      <c r="AV14" s="20">
        <f t="shared" si="11"/>
        <v>7</v>
      </c>
      <c r="AW14" s="51">
        <f t="shared" si="3"/>
        <v>0</v>
      </c>
      <c r="AX14" s="23">
        <f t="shared" si="4"/>
        <v>0.1</v>
      </c>
      <c r="AY14" s="23">
        <f t="shared" si="5"/>
        <v>0.06</v>
      </c>
      <c r="AZ14" s="23">
        <f t="shared" si="6"/>
        <v>0.08</v>
      </c>
      <c r="BA14" s="52">
        <f t="shared" si="7"/>
        <v>0.03</v>
      </c>
      <c r="BC14" s="20">
        <f t="shared" si="12"/>
        <v>7</v>
      </c>
      <c r="BD14" s="54">
        <f>BD13</f>
        <v>0.99999999999999989</v>
      </c>
      <c r="BE14" s="52"/>
    </row>
    <row r="15" spans="2:57" x14ac:dyDescent="0.2">
      <c r="B15" s="20">
        <f t="shared" si="8"/>
        <v>7</v>
      </c>
      <c r="C15" s="44">
        <v>7.7999999999999999E-4</v>
      </c>
      <c r="D15" s="45">
        <v>7.1000000000000002E-4</v>
      </c>
      <c r="E15" s="45">
        <v>8.2000000000000009E-4</v>
      </c>
      <c r="F15" s="45">
        <v>6.38E-4</v>
      </c>
      <c r="G15" s="45">
        <f>(M15*($G$4+$H$2)+$G$5*O15)*(IF(B15&gt;=Age,$G$1*VLOOKUP('Q-Rates'!B15-Age+1,'Q-Rates'!$BC$8:$BD$128,2,0),1))</f>
        <v>0</v>
      </c>
      <c r="H15" s="45">
        <f>(N15*($H$4+$H$2)+$H$5*P15)*(IF(B15&gt;=Age,$G$1*VLOOKUP('Q-Rates'!B15-Age+1,'Q-Rates'!$BC$8:$BD$128,2,0),1))</f>
        <v>0</v>
      </c>
      <c r="I15" s="45">
        <f t="shared" si="1"/>
        <v>0</v>
      </c>
      <c r="J15" s="45">
        <f t="shared" si="9"/>
        <v>0</v>
      </c>
      <c r="K15" s="45">
        <f>(S15*$K$5)*(IF(B15&gt;=Age,$K$1*VLOOKUP('Q-Rates'!B15-Age+1,'Q-Rates'!$BC$8:$BD$128,2,0),1))</f>
        <v>0</v>
      </c>
      <c r="L15" s="45">
        <f>(T15*$L$5)*(IF(B15&gt;=Age,$L$1*VLOOKUP('Q-Rates'!B15-Age+1,'Q-Rates'!$BC$8:$BD$128,2,0),1))</f>
        <v>0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7">
        <v>0</v>
      </c>
      <c r="AO15" s="20">
        <f t="shared" si="10"/>
        <v>8</v>
      </c>
      <c r="AP15" s="48">
        <v>0</v>
      </c>
      <c r="AQ15" s="49">
        <v>0.1</v>
      </c>
      <c r="AR15" s="49">
        <f>IF($AO15&gt;[1]Basic!$D$29,0,VLOOKUP(MIN($AO15,6),[1]Specs!$Q$5:$R$11,2,0))</f>
        <v>0.06</v>
      </c>
      <c r="AS15" s="49">
        <v>0.08</v>
      </c>
      <c r="AT15" s="50">
        <f t="shared" si="2"/>
        <v>0.03</v>
      </c>
      <c r="AV15" s="20">
        <f t="shared" si="11"/>
        <v>8</v>
      </c>
      <c r="AW15" s="51">
        <f t="shared" si="3"/>
        <v>0</v>
      </c>
      <c r="AX15" s="23">
        <f t="shared" si="4"/>
        <v>0.1</v>
      </c>
      <c r="AY15" s="23">
        <f t="shared" si="5"/>
        <v>0.06</v>
      </c>
      <c r="AZ15" s="23">
        <f t="shared" si="6"/>
        <v>0.08</v>
      </c>
      <c r="BA15" s="52">
        <f t="shared" si="7"/>
        <v>0.03</v>
      </c>
      <c r="BC15" s="20">
        <f t="shared" si="12"/>
        <v>8</v>
      </c>
      <c r="BD15" s="54">
        <f t="shared" ref="BD15:BD78" si="13">BD14</f>
        <v>0.99999999999999989</v>
      </c>
      <c r="BE15" s="52"/>
    </row>
    <row r="16" spans="2:57" x14ac:dyDescent="0.2">
      <c r="B16" s="20">
        <f t="shared" si="8"/>
        <v>8</v>
      </c>
      <c r="C16" s="44">
        <v>7.5000000000000002E-4</v>
      </c>
      <c r="D16" s="45">
        <v>6.9999999999999999E-4</v>
      </c>
      <c r="E16" s="45">
        <v>7.8600000000000002E-4</v>
      </c>
      <c r="F16" s="45">
        <v>6.0400000000000004E-4</v>
      </c>
      <c r="G16" s="45">
        <f>(M16*($G$4+$H$2)+$G$5*O16)*(IF(B16&gt;=Age,$G$1*VLOOKUP('Q-Rates'!B16-Age+1,'Q-Rates'!$BC$8:$BD$128,2,0),1))</f>
        <v>0</v>
      </c>
      <c r="H16" s="45">
        <f>(N16*($H$4+$H$2)+$H$5*P16)*(IF(B16&gt;=Age,$G$1*VLOOKUP('Q-Rates'!B16-Age+1,'Q-Rates'!$BC$8:$BD$128,2,0),1))</f>
        <v>0</v>
      </c>
      <c r="I16" s="45">
        <f t="shared" si="1"/>
        <v>0</v>
      </c>
      <c r="J16" s="45">
        <f t="shared" si="9"/>
        <v>0</v>
      </c>
      <c r="K16" s="45">
        <f>(S16*$K$5)*(IF(B16&gt;=Age,$K$1*VLOOKUP('Q-Rates'!B16-Age+1,'Q-Rates'!$BC$8:$BD$128,2,0),1))</f>
        <v>0</v>
      </c>
      <c r="L16" s="45">
        <f>(T16*$L$5)*(IF(B16&gt;=Age,$L$1*VLOOKUP('Q-Rates'!B16-Age+1,'Q-Rates'!$BC$8:$BD$128,2,0),1))</f>
        <v>0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>
        <v>0</v>
      </c>
      <c r="AO16" s="20">
        <f t="shared" si="10"/>
        <v>9</v>
      </c>
      <c r="AP16" s="48">
        <v>0</v>
      </c>
      <c r="AQ16" s="49">
        <v>0.1</v>
      </c>
      <c r="AR16" s="49">
        <f>IF($AO16&gt;[1]Basic!$D$29,0,VLOOKUP(MIN($AO16,6),[1]Specs!$Q$5:$R$11,2,0))</f>
        <v>0.06</v>
      </c>
      <c r="AS16" s="49">
        <v>0.08</v>
      </c>
      <c r="AT16" s="50">
        <f t="shared" si="2"/>
        <v>0.03</v>
      </c>
      <c r="AV16" s="20">
        <f t="shared" si="11"/>
        <v>9</v>
      </c>
      <c r="AW16" s="51">
        <f t="shared" si="3"/>
        <v>0</v>
      </c>
      <c r="AX16" s="23">
        <f t="shared" si="4"/>
        <v>0.1</v>
      </c>
      <c r="AY16" s="23">
        <f t="shared" si="5"/>
        <v>0.06</v>
      </c>
      <c r="AZ16" s="23">
        <f t="shared" si="6"/>
        <v>0.08</v>
      </c>
      <c r="BA16" s="52">
        <f t="shared" si="7"/>
        <v>0.03</v>
      </c>
      <c r="BC16" s="20">
        <f t="shared" si="12"/>
        <v>9</v>
      </c>
      <c r="BD16" s="51">
        <f t="shared" si="13"/>
        <v>0.99999999999999989</v>
      </c>
      <c r="BE16" s="52"/>
    </row>
    <row r="17" spans="2:57" x14ac:dyDescent="0.2">
      <c r="B17" s="20">
        <f t="shared" si="8"/>
        <v>9</v>
      </c>
      <c r="C17" s="44">
        <v>7.3999999999999999E-4</v>
      </c>
      <c r="D17" s="45">
        <v>6.8999999999999997E-4</v>
      </c>
      <c r="E17" s="45">
        <v>7.6400000000000003E-4</v>
      </c>
      <c r="F17" s="45">
        <v>5.7599999999999991E-4</v>
      </c>
      <c r="G17" s="45">
        <f>(M17*($G$4+$H$2)+$G$5*O17)*(IF(B17&gt;=Age,$G$1*VLOOKUP('Q-Rates'!B17-Age+1,'Q-Rates'!$BC$8:$BD$128,2,0),1))</f>
        <v>0</v>
      </c>
      <c r="H17" s="45">
        <f>(N17*($H$4+$H$2)+$H$5*P17)*(IF(B17&gt;=Age,$G$1*VLOOKUP('Q-Rates'!B17-Age+1,'Q-Rates'!$BC$8:$BD$128,2,0),1))</f>
        <v>0</v>
      </c>
      <c r="I17" s="45">
        <f t="shared" si="1"/>
        <v>0</v>
      </c>
      <c r="J17" s="45">
        <f t="shared" si="9"/>
        <v>0</v>
      </c>
      <c r="K17" s="45">
        <f>(S17*$K$5)*(IF(B17&gt;=Age,$K$1*VLOOKUP('Q-Rates'!B17-Age+1,'Q-Rates'!$BC$8:$BD$128,2,0),1))</f>
        <v>0</v>
      </c>
      <c r="L17" s="45">
        <f>(T17*$L$5)*(IF(B17&gt;=Age,$L$1*VLOOKUP('Q-Rates'!B17-Age+1,'Q-Rates'!$BC$8:$BD$128,2,0),1))</f>
        <v>0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7">
        <v>0</v>
      </c>
      <c r="AO17" s="20">
        <f t="shared" si="10"/>
        <v>10</v>
      </c>
      <c r="AP17" s="48">
        <v>0</v>
      </c>
      <c r="AQ17" s="49">
        <v>0.1</v>
      </c>
      <c r="AR17" s="49">
        <f>IF($AO17&gt;[1]Basic!$D$29,0,VLOOKUP(MIN($AO17,6),[1]Specs!$Q$5:$R$11,2,0))</f>
        <v>0.06</v>
      </c>
      <c r="AS17" s="49">
        <v>0.08</v>
      </c>
      <c r="AT17" s="50">
        <f t="shared" si="2"/>
        <v>0.03</v>
      </c>
      <c r="AV17" s="20">
        <f t="shared" si="11"/>
        <v>10</v>
      </c>
      <c r="AW17" s="51">
        <f t="shared" si="3"/>
        <v>0</v>
      </c>
      <c r="AX17" s="23">
        <f t="shared" si="4"/>
        <v>0.1</v>
      </c>
      <c r="AY17" s="23">
        <f t="shared" si="5"/>
        <v>0.06</v>
      </c>
      <c r="AZ17" s="23">
        <f t="shared" si="6"/>
        <v>0.08</v>
      </c>
      <c r="BA17" s="52">
        <f t="shared" si="7"/>
        <v>0.03</v>
      </c>
      <c r="BC17" s="20">
        <f t="shared" si="12"/>
        <v>10</v>
      </c>
      <c r="BD17" s="51">
        <f t="shared" si="13"/>
        <v>0.99999999999999989</v>
      </c>
      <c r="BE17" s="52"/>
    </row>
    <row r="18" spans="2:57" x14ac:dyDescent="0.2">
      <c r="B18" s="20">
        <f t="shared" si="8"/>
        <v>10</v>
      </c>
      <c r="C18" s="44">
        <v>7.5000000000000002E-4</v>
      </c>
      <c r="D18" s="45">
        <v>6.8000000000000005E-4</v>
      </c>
      <c r="E18" s="45">
        <v>7.8200000000000003E-4</v>
      </c>
      <c r="F18" s="45">
        <v>5.6999999999999998E-4</v>
      </c>
      <c r="G18" s="45">
        <f>(M18*($G$4+$H$2)+$G$5*O18)*(IF(B18&gt;=Age,$G$1*VLOOKUP('Q-Rates'!B18-Age+1,'Q-Rates'!$BC$8:$BD$128,2,0),1))</f>
        <v>0</v>
      </c>
      <c r="H18" s="45">
        <f>(N18*($H$4+$H$2)+$H$5*P18)*(IF(B18&gt;=Age,$G$1*VLOOKUP('Q-Rates'!B18-Age+1,'Q-Rates'!$BC$8:$BD$128,2,0),1))</f>
        <v>0</v>
      </c>
      <c r="I18" s="45">
        <f t="shared" si="1"/>
        <v>0</v>
      </c>
      <c r="J18" s="45">
        <f t="shared" si="9"/>
        <v>0</v>
      </c>
      <c r="K18" s="45">
        <f>(S18*$K$5)*(IF(B18&gt;=Age,$K$1*VLOOKUP('Q-Rates'!B18-Age+1,'Q-Rates'!$BC$8:$BD$128,2,0),1))</f>
        <v>0</v>
      </c>
      <c r="L18" s="45">
        <f>(T18*$L$5)*(IF(B18&gt;=Age,$L$1*VLOOKUP('Q-Rates'!B18-Age+1,'Q-Rates'!$BC$8:$BD$128,2,0),1))</f>
        <v>0</v>
      </c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7">
        <v>0</v>
      </c>
      <c r="AO18" s="20">
        <f t="shared" si="10"/>
        <v>11</v>
      </c>
      <c r="AP18" s="48">
        <v>0</v>
      </c>
      <c r="AQ18" s="49">
        <v>0.1</v>
      </c>
      <c r="AR18" s="49">
        <f>IF($AO18&gt;[1]Basic!$D$29,0,VLOOKUP(MIN($AO18,6),[1]Specs!$Q$5:$R$11,2,0))</f>
        <v>0.06</v>
      </c>
      <c r="AS18" s="49">
        <v>0.08</v>
      </c>
      <c r="AT18" s="50">
        <f t="shared" si="2"/>
        <v>0.03</v>
      </c>
      <c r="AV18" s="20">
        <f t="shared" si="11"/>
        <v>11</v>
      </c>
      <c r="AW18" s="51">
        <f t="shared" si="3"/>
        <v>0</v>
      </c>
      <c r="AX18" s="23">
        <f t="shared" si="4"/>
        <v>0.1</v>
      </c>
      <c r="AY18" s="23">
        <f t="shared" si="5"/>
        <v>0.06</v>
      </c>
      <c r="AZ18" s="23">
        <f t="shared" si="6"/>
        <v>0.08</v>
      </c>
      <c r="BA18" s="52">
        <f t="shared" si="7"/>
        <v>0.03</v>
      </c>
      <c r="BC18" s="20">
        <f t="shared" si="12"/>
        <v>11</v>
      </c>
      <c r="BD18" s="51">
        <f t="shared" si="13"/>
        <v>0.99999999999999989</v>
      </c>
      <c r="BE18" s="52"/>
    </row>
    <row r="19" spans="2:57" x14ac:dyDescent="0.2">
      <c r="B19" s="20">
        <f t="shared" si="8"/>
        <v>11</v>
      </c>
      <c r="C19" s="44">
        <v>8.0999999999999996E-4</v>
      </c>
      <c r="D19" s="45">
        <v>6.9999999999999999E-4</v>
      </c>
      <c r="E19" s="45">
        <v>8.34E-4</v>
      </c>
      <c r="F19" s="45">
        <v>5.660000000000001E-4</v>
      </c>
      <c r="G19" s="45">
        <f>(M19*($G$4+$H$2)+$G$5*O19)*(IF(B19&gt;=Age,$G$1*VLOOKUP('Q-Rates'!B19-Age+1,'Q-Rates'!$BC$8:$BD$128,2,0),1))</f>
        <v>0</v>
      </c>
      <c r="H19" s="45">
        <f>(N19*($H$4+$H$2)+$H$5*P19)*(IF(B19&gt;=Age,$G$1*VLOOKUP('Q-Rates'!B19-Age+1,'Q-Rates'!$BC$8:$BD$128,2,0),1))</f>
        <v>0</v>
      </c>
      <c r="I19" s="45">
        <f t="shared" si="1"/>
        <v>0</v>
      </c>
      <c r="J19" s="45">
        <f t="shared" si="9"/>
        <v>0</v>
      </c>
      <c r="K19" s="45">
        <f>(S19*$K$5)*(IF(B19&gt;=Age,$K$1*VLOOKUP('Q-Rates'!B19-Age+1,'Q-Rates'!$BC$8:$BD$128,2,0),1))</f>
        <v>0</v>
      </c>
      <c r="L19" s="45">
        <f>(T19*$L$5)*(IF(B19&gt;=Age,$L$1*VLOOKUP('Q-Rates'!B19-Age+1,'Q-Rates'!$BC$8:$BD$128,2,0),1))</f>
        <v>0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7">
        <v>0</v>
      </c>
      <c r="AO19" s="20">
        <f t="shared" si="10"/>
        <v>12</v>
      </c>
      <c r="AP19" s="48">
        <v>0</v>
      </c>
      <c r="AQ19" s="49">
        <v>0.1</v>
      </c>
      <c r="AR19" s="49">
        <f>IF($AO19&gt;[1]Basic!$D$29,0,VLOOKUP(MIN($AO19,6),[1]Specs!$Q$5:$R$11,2,0))</f>
        <v>0.06</v>
      </c>
      <c r="AS19" s="49">
        <v>0.08</v>
      </c>
      <c r="AT19" s="50">
        <f t="shared" si="2"/>
        <v>0.03</v>
      </c>
      <c r="AV19" s="20">
        <f t="shared" si="11"/>
        <v>12</v>
      </c>
      <c r="AW19" s="51">
        <f t="shared" si="3"/>
        <v>0</v>
      </c>
      <c r="AX19" s="23">
        <f t="shared" si="4"/>
        <v>0.1</v>
      </c>
      <c r="AY19" s="23">
        <f t="shared" si="5"/>
        <v>0.06</v>
      </c>
      <c r="AZ19" s="23">
        <f t="shared" si="6"/>
        <v>0.08</v>
      </c>
      <c r="BA19" s="52">
        <f t="shared" si="7"/>
        <v>0.03</v>
      </c>
      <c r="BC19" s="20">
        <f t="shared" si="12"/>
        <v>12</v>
      </c>
      <c r="BD19" s="51">
        <f t="shared" si="13"/>
        <v>0.99999999999999989</v>
      </c>
      <c r="BE19" s="52"/>
    </row>
    <row r="20" spans="2:57" x14ac:dyDescent="0.2">
      <c r="B20" s="20">
        <f t="shared" si="8"/>
        <v>12</v>
      </c>
      <c r="C20" s="44">
        <v>9.2000000000000003E-4</v>
      </c>
      <c r="D20" s="45">
        <v>7.2999999999999996E-4</v>
      </c>
      <c r="E20" s="45">
        <v>8.5599999999999988E-4</v>
      </c>
      <c r="F20" s="45">
        <v>5.7200000000000003E-4</v>
      </c>
      <c r="G20" s="45">
        <f>(M20*($G$4+$H$2)+$G$5*O20)*(IF(B20&gt;=Age,$G$1*VLOOKUP('Q-Rates'!B20-Age+1,'Q-Rates'!$BC$8:$BD$128,2,0),1))</f>
        <v>0</v>
      </c>
      <c r="H20" s="45">
        <f>(N20*($H$4+$H$2)+$H$5*P20)*(IF(B20&gt;=Age,$G$1*VLOOKUP('Q-Rates'!B20-Age+1,'Q-Rates'!$BC$8:$BD$128,2,0),1))</f>
        <v>0</v>
      </c>
      <c r="I20" s="45">
        <f t="shared" si="1"/>
        <v>0</v>
      </c>
      <c r="J20" s="45">
        <f t="shared" si="9"/>
        <v>0</v>
      </c>
      <c r="K20" s="45">
        <f>(S20*$K$5)*(IF(B20&gt;=Age,$K$1*VLOOKUP('Q-Rates'!B20-Age+1,'Q-Rates'!$BC$8:$BD$128,2,0),1))</f>
        <v>0</v>
      </c>
      <c r="L20" s="45">
        <f>(T20*$L$5)*(IF(B20&gt;=Age,$L$1*VLOOKUP('Q-Rates'!B20-Age+1,'Q-Rates'!$BC$8:$BD$128,2,0),1))</f>
        <v>0</v>
      </c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7">
        <v>0</v>
      </c>
      <c r="AO20" s="20">
        <f t="shared" si="10"/>
        <v>13</v>
      </c>
      <c r="AP20" s="48">
        <v>0</v>
      </c>
      <c r="AQ20" s="49">
        <v>0.1</v>
      </c>
      <c r="AR20" s="49">
        <f>IF($AO20&gt;[1]Basic!$D$29,0,VLOOKUP(MIN($AO20,6),[1]Specs!$Q$5:$R$11,2,0))</f>
        <v>0.06</v>
      </c>
      <c r="AS20" s="49">
        <v>0.08</v>
      </c>
      <c r="AT20" s="50">
        <f t="shared" si="2"/>
        <v>0.03</v>
      </c>
      <c r="AV20" s="20">
        <f t="shared" si="11"/>
        <v>13</v>
      </c>
      <c r="AW20" s="51">
        <f t="shared" si="3"/>
        <v>0</v>
      </c>
      <c r="AX20" s="23">
        <f t="shared" si="4"/>
        <v>0.1</v>
      </c>
      <c r="AY20" s="23">
        <f t="shared" si="5"/>
        <v>0.06</v>
      </c>
      <c r="AZ20" s="23">
        <f t="shared" si="6"/>
        <v>0.08</v>
      </c>
      <c r="BA20" s="52">
        <f t="shared" si="7"/>
        <v>0.03</v>
      </c>
      <c r="BC20" s="20">
        <f t="shared" si="12"/>
        <v>13</v>
      </c>
      <c r="BD20" s="51">
        <f t="shared" si="13"/>
        <v>0.99999999999999989</v>
      </c>
      <c r="BE20" s="52"/>
    </row>
    <row r="21" spans="2:57" x14ac:dyDescent="0.2">
      <c r="B21" s="20">
        <f t="shared" si="8"/>
        <v>13</v>
      </c>
      <c r="C21" s="44">
        <v>1.07E-3</v>
      </c>
      <c r="D21" s="45">
        <v>7.6999999999999996E-4</v>
      </c>
      <c r="E21" s="45">
        <v>9.3999999999999997E-4</v>
      </c>
      <c r="F21" s="45">
        <v>5.8999999999999992E-4</v>
      </c>
      <c r="G21" s="45">
        <f>(M21*($G$4+$H$2)+$G$5*O21)*(IF(B21&gt;=Age,$G$1*VLOOKUP('Q-Rates'!B21-Age+1,'Q-Rates'!$BC$8:$BD$128,2,0),1))</f>
        <v>0</v>
      </c>
      <c r="H21" s="45">
        <f>(N21*($H$4+$H$2)+$H$5*P21)*(IF(B21&gt;=Age,$G$1*VLOOKUP('Q-Rates'!B21-Age+1,'Q-Rates'!$BC$8:$BD$128,2,0),1))</f>
        <v>0</v>
      </c>
      <c r="I21" s="45">
        <f t="shared" si="1"/>
        <v>0</v>
      </c>
      <c r="J21" s="45">
        <f t="shared" si="9"/>
        <v>0</v>
      </c>
      <c r="K21" s="45">
        <f>(S21*$K$5)*(IF(B21&gt;=Age,$K$1*VLOOKUP('Q-Rates'!B21-Age+1,'Q-Rates'!$BC$8:$BD$128,2,0),1))</f>
        <v>0</v>
      </c>
      <c r="L21" s="45">
        <f>(T21*$L$5)*(IF(B21&gt;=Age,$L$1*VLOOKUP('Q-Rates'!B21-Age+1,'Q-Rates'!$BC$8:$BD$128,2,0),1))</f>
        <v>0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7">
        <v>0</v>
      </c>
      <c r="AO21" s="20">
        <f t="shared" si="10"/>
        <v>14</v>
      </c>
      <c r="AP21" s="48">
        <v>0</v>
      </c>
      <c r="AQ21" s="49">
        <v>0.1</v>
      </c>
      <c r="AR21" s="49">
        <f>IF($AO21&gt;[1]Basic!$D$29,0,VLOOKUP(MIN($AO21,6),[1]Specs!$Q$5:$R$11,2,0))</f>
        <v>0.06</v>
      </c>
      <c r="AS21" s="49">
        <v>0.08</v>
      </c>
      <c r="AT21" s="50">
        <f t="shared" si="2"/>
        <v>0.03</v>
      </c>
      <c r="AV21" s="20">
        <f t="shared" si="11"/>
        <v>14</v>
      </c>
      <c r="AW21" s="51">
        <f t="shared" si="3"/>
        <v>0</v>
      </c>
      <c r="AX21" s="23">
        <f t="shared" si="4"/>
        <v>0.1</v>
      </c>
      <c r="AY21" s="23">
        <f t="shared" si="5"/>
        <v>0.06</v>
      </c>
      <c r="AZ21" s="23">
        <f t="shared" si="6"/>
        <v>0.08</v>
      </c>
      <c r="BA21" s="52">
        <f t="shared" si="7"/>
        <v>0.03</v>
      </c>
      <c r="BC21" s="20">
        <f t="shared" si="12"/>
        <v>14</v>
      </c>
      <c r="BD21" s="51">
        <f t="shared" si="13"/>
        <v>0.99999999999999989</v>
      </c>
      <c r="BE21" s="52"/>
    </row>
    <row r="22" spans="2:57" x14ac:dyDescent="0.2">
      <c r="B22" s="20">
        <f t="shared" si="8"/>
        <v>14</v>
      </c>
      <c r="C22" s="44">
        <v>1.24E-3</v>
      </c>
      <c r="D22" s="45">
        <v>8.1999999999999998E-4</v>
      </c>
      <c r="E22" s="45">
        <v>9.4399999999999996E-4</v>
      </c>
      <c r="F22" s="45">
        <v>6.0999999999999997E-4</v>
      </c>
      <c r="G22" s="45">
        <f>(M22*($G$4+$H$2)+$G$5*O22)*(IF(B22&gt;=Age,$G$1*VLOOKUP('Q-Rates'!B22-Age+1,'Q-Rates'!$BC$8:$BD$128,2,0),1))</f>
        <v>0</v>
      </c>
      <c r="H22" s="45">
        <f>(N22*($H$4+$H$2)+$H$5*P22)*(IF(B22&gt;=Age,$G$1*VLOOKUP('Q-Rates'!B22-Age+1,'Q-Rates'!$BC$8:$BD$128,2,0),1))</f>
        <v>0</v>
      </c>
      <c r="I22" s="45">
        <f t="shared" si="1"/>
        <v>0</v>
      </c>
      <c r="J22" s="45">
        <f t="shared" si="9"/>
        <v>0</v>
      </c>
      <c r="K22" s="45">
        <f>(S22*$K$5)*(IF(B22&gt;=Age,$K$1*VLOOKUP('Q-Rates'!B22-Age+1,'Q-Rates'!$BC$8:$BD$128,2,0),1))</f>
        <v>0</v>
      </c>
      <c r="L22" s="45">
        <f>(T22*$L$5)*(IF(B22&gt;=Age,$L$1*VLOOKUP('Q-Rates'!B22-Age+1,'Q-Rates'!$BC$8:$BD$128,2,0),1))</f>
        <v>0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7">
        <v>0</v>
      </c>
      <c r="AO22" s="20">
        <f t="shared" si="10"/>
        <v>15</v>
      </c>
      <c r="AP22" s="48">
        <v>0</v>
      </c>
      <c r="AQ22" s="49">
        <v>0.1</v>
      </c>
      <c r="AR22" s="49">
        <f>IF($AO22&gt;[1]Basic!$D$29,0,VLOOKUP(MIN($AO22,6),[1]Specs!$Q$5:$R$11,2,0))</f>
        <v>0.06</v>
      </c>
      <c r="AS22" s="49">
        <v>0.08</v>
      </c>
      <c r="AT22" s="50">
        <f t="shared" si="2"/>
        <v>0.03</v>
      </c>
      <c r="AV22" s="20">
        <f t="shared" si="11"/>
        <v>15</v>
      </c>
      <c r="AW22" s="51">
        <f t="shared" si="3"/>
        <v>0</v>
      </c>
      <c r="AX22" s="23">
        <f t="shared" si="4"/>
        <v>0.1</v>
      </c>
      <c r="AY22" s="23">
        <f t="shared" si="5"/>
        <v>0.06</v>
      </c>
      <c r="AZ22" s="23">
        <f t="shared" si="6"/>
        <v>0.08</v>
      </c>
      <c r="BA22" s="52">
        <f t="shared" si="7"/>
        <v>0.03</v>
      </c>
      <c r="BC22" s="20">
        <f t="shared" si="12"/>
        <v>15</v>
      </c>
      <c r="BD22" s="51">
        <f t="shared" si="13"/>
        <v>0.99999999999999989</v>
      </c>
      <c r="BE22" s="52"/>
    </row>
    <row r="23" spans="2:57" x14ac:dyDescent="0.2">
      <c r="B23" s="20">
        <f t="shared" si="8"/>
        <v>15</v>
      </c>
      <c r="C23" s="44">
        <v>1.42E-3</v>
      </c>
      <c r="D23" s="45">
        <v>8.7000000000000001E-4</v>
      </c>
      <c r="E23" s="45">
        <v>9.4399999999999996E-4</v>
      </c>
      <c r="F23" s="45">
        <v>6.2799999999999998E-4</v>
      </c>
      <c r="G23" s="45">
        <f>(M23*($G$4+$H$2)+$G$5*O23)*(IF(B23&gt;=Age,$G$1*VLOOKUP('Q-Rates'!B23-Age+1,'Q-Rates'!$BC$8:$BD$128,2,0),1))</f>
        <v>0</v>
      </c>
      <c r="H23" s="45">
        <f>(N23*($H$4+$H$2)+$H$5*P23)*(IF(B23&gt;=Age,$G$1*VLOOKUP('Q-Rates'!B23-Age+1,'Q-Rates'!$BC$8:$BD$128,2,0),1))</f>
        <v>0</v>
      </c>
      <c r="I23" s="45">
        <f t="shared" si="1"/>
        <v>0</v>
      </c>
      <c r="J23" s="45">
        <f t="shared" si="9"/>
        <v>0</v>
      </c>
      <c r="K23" s="45">
        <f>(S23*$K$5)*(IF(B23&gt;=Age,$K$1*VLOOKUP('Q-Rates'!B23-Age+1,'Q-Rates'!$BC$8:$BD$128,2,0),1))</f>
        <v>0</v>
      </c>
      <c r="L23" s="45">
        <f>(T23*$L$5)*(IF(B23&gt;=Age,$L$1*VLOOKUP('Q-Rates'!B23-Age+1,'Q-Rates'!$BC$8:$BD$128,2,0),1))</f>
        <v>0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7">
        <v>0</v>
      </c>
      <c r="AO23" s="20">
        <f t="shared" si="10"/>
        <v>16</v>
      </c>
      <c r="AP23" s="48">
        <v>0</v>
      </c>
      <c r="AQ23" s="49">
        <v>0.1</v>
      </c>
      <c r="AR23" s="49">
        <f>IF($AO23&gt;[1]Basic!$D$29,0,VLOOKUP(MIN($AO23,6),[1]Specs!$Q$5:$R$11,2,0))</f>
        <v>0.06</v>
      </c>
      <c r="AS23" s="49">
        <v>0.08</v>
      </c>
      <c r="AT23" s="50">
        <f t="shared" si="2"/>
        <v>0.03</v>
      </c>
      <c r="AV23" s="20">
        <f t="shared" si="11"/>
        <v>16</v>
      </c>
      <c r="AW23" s="51">
        <f t="shared" si="3"/>
        <v>0</v>
      </c>
      <c r="AX23" s="23">
        <f t="shared" si="4"/>
        <v>0.1</v>
      </c>
      <c r="AY23" s="23">
        <f t="shared" si="5"/>
        <v>0.06</v>
      </c>
      <c r="AZ23" s="23">
        <f t="shared" si="6"/>
        <v>0.08</v>
      </c>
      <c r="BA23" s="52">
        <f t="shared" si="7"/>
        <v>0.03</v>
      </c>
      <c r="BC23" s="20">
        <f t="shared" si="12"/>
        <v>16</v>
      </c>
      <c r="BD23" s="51">
        <f t="shared" si="13"/>
        <v>0.99999999999999989</v>
      </c>
      <c r="BE23" s="52"/>
    </row>
    <row r="24" spans="2:57" x14ac:dyDescent="0.2">
      <c r="B24" s="20">
        <f t="shared" si="8"/>
        <v>16</v>
      </c>
      <c r="C24" s="44">
        <v>1.5900000000000001E-3</v>
      </c>
      <c r="D24" s="45">
        <v>9.2000000000000003E-4</v>
      </c>
      <c r="E24" s="45">
        <v>9.4399999999999996E-4</v>
      </c>
      <c r="F24" s="45">
        <v>6.4599999999999998E-4</v>
      </c>
      <c r="G24" s="45">
        <f>(M24*($G$4+$H$2)+$G$5*O24)*(IF(B24&gt;=Age,$G$1*VLOOKUP('Q-Rates'!B24-Age+1,'Q-Rates'!$BC$8:$BD$128,2,0),1))</f>
        <v>0</v>
      </c>
      <c r="H24" s="45">
        <f>(N24*($H$4+$H$2)+$H$5*P24)*(IF(B24&gt;=Age,$G$1*VLOOKUP('Q-Rates'!B24-Age+1,'Q-Rates'!$BC$8:$BD$128,2,0),1))</f>
        <v>0</v>
      </c>
      <c r="I24" s="45">
        <f t="shared" si="1"/>
        <v>0</v>
      </c>
      <c r="J24" s="45">
        <f t="shared" si="9"/>
        <v>0</v>
      </c>
      <c r="K24" s="45">
        <f>(S24*$K$5)*(IF(B24&gt;=Age,$K$1*VLOOKUP('Q-Rates'!B24-Age+1,'Q-Rates'!$BC$8:$BD$128,2,0),1))</f>
        <v>0</v>
      </c>
      <c r="L24" s="45">
        <f>(T24*$L$5)*(IF(B24&gt;=Age,$L$1*VLOOKUP('Q-Rates'!B24-Age+1,'Q-Rates'!$BC$8:$BD$128,2,0),1))</f>
        <v>0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>
        <v>0</v>
      </c>
      <c r="AO24" s="20">
        <f t="shared" si="10"/>
        <v>17</v>
      </c>
      <c r="AP24" s="48">
        <v>0</v>
      </c>
      <c r="AQ24" s="49">
        <v>0.1</v>
      </c>
      <c r="AR24" s="49">
        <f>IF($AO24&gt;[1]Basic!$D$29,0,VLOOKUP(MIN($AO24,6),[1]Specs!$Q$5:$R$11,2,0))</f>
        <v>0.06</v>
      </c>
      <c r="AS24" s="49">
        <v>0.08</v>
      </c>
      <c r="AT24" s="50">
        <f t="shared" si="2"/>
        <v>0.03</v>
      </c>
      <c r="AV24" s="20">
        <f t="shared" si="11"/>
        <v>17</v>
      </c>
      <c r="AW24" s="51">
        <f t="shared" si="3"/>
        <v>0</v>
      </c>
      <c r="AX24" s="23">
        <f t="shared" si="4"/>
        <v>0.1</v>
      </c>
      <c r="AY24" s="23">
        <f t="shared" si="5"/>
        <v>0.06</v>
      </c>
      <c r="AZ24" s="23">
        <f t="shared" si="6"/>
        <v>0.08</v>
      </c>
      <c r="BA24" s="52">
        <f t="shared" si="7"/>
        <v>0.03</v>
      </c>
      <c r="BC24" s="20">
        <f t="shared" si="12"/>
        <v>17</v>
      </c>
      <c r="BD24" s="51">
        <f t="shared" si="13"/>
        <v>0.99999999999999989</v>
      </c>
      <c r="BE24" s="52"/>
    </row>
    <row r="25" spans="2:57" x14ac:dyDescent="0.2">
      <c r="B25" s="20">
        <f t="shared" si="8"/>
        <v>17</v>
      </c>
      <c r="C25" s="44">
        <v>1.72E-3</v>
      </c>
      <c r="D25" s="45">
        <v>9.6000000000000002E-4</v>
      </c>
      <c r="E25" s="45">
        <v>9.4799999999999995E-4</v>
      </c>
      <c r="F25" s="45">
        <v>6.6399999999999988E-4</v>
      </c>
      <c r="G25" s="45">
        <f>(M25*($G$4+$H$2)+$G$5*O25)*(IF(B25&gt;=Age,$G$1*VLOOKUP('Q-Rates'!B25-Age+1,'Q-Rates'!$BC$8:$BD$128,2,0),1))</f>
        <v>0</v>
      </c>
      <c r="H25" s="45">
        <f>(N25*($H$4+$H$2)+$H$5*P25)*(IF(B25&gt;=Age,$G$1*VLOOKUP('Q-Rates'!B25-Age+1,'Q-Rates'!$BC$8:$BD$128,2,0),1))</f>
        <v>0</v>
      </c>
      <c r="I25" s="45">
        <f t="shared" si="1"/>
        <v>0</v>
      </c>
      <c r="J25" s="45">
        <f t="shared" si="9"/>
        <v>0</v>
      </c>
      <c r="K25" s="45">
        <f>(S25*$K$5)*(IF(B25&gt;=Age,$K$1*VLOOKUP('Q-Rates'!B25-Age+1,'Q-Rates'!$BC$8:$BD$128,2,0),1))</f>
        <v>0</v>
      </c>
      <c r="L25" s="45">
        <f>(T25*$L$5)*(IF(B25&gt;=Age,$L$1*VLOOKUP('Q-Rates'!B25-Age+1,'Q-Rates'!$BC$8:$BD$128,2,0),1))</f>
        <v>0</v>
      </c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>
        <v>0</v>
      </c>
      <c r="AO25" s="20">
        <f t="shared" si="10"/>
        <v>18</v>
      </c>
      <c r="AP25" s="48">
        <v>0</v>
      </c>
      <c r="AQ25" s="49">
        <v>0.1</v>
      </c>
      <c r="AR25" s="49">
        <f>IF($AO25&gt;[1]Basic!$D$29,0,VLOOKUP(MIN($AO25,6),[1]Specs!$Q$5:$R$11,2,0))</f>
        <v>0.06</v>
      </c>
      <c r="AS25" s="49">
        <v>0.08</v>
      </c>
      <c r="AT25" s="50">
        <f t="shared" si="2"/>
        <v>0.03</v>
      </c>
      <c r="AV25" s="20">
        <f t="shared" si="11"/>
        <v>18</v>
      </c>
      <c r="AW25" s="51">
        <f t="shared" si="3"/>
        <v>0</v>
      </c>
      <c r="AX25" s="23">
        <f t="shared" si="4"/>
        <v>0.1</v>
      </c>
      <c r="AY25" s="23">
        <f t="shared" si="5"/>
        <v>0.06</v>
      </c>
      <c r="AZ25" s="23">
        <f t="shared" si="6"/>
        <v>0.08</v>
      </c>
      <c r="BA25" s="52">
        <f t="shared" si="7"/>
        <v>0.03</v>
      </c>
      <c r="BC25" s="20">
        <f t="shared" si="12"/>
        <v>18</v>
      </c>
      <c r="BD25" s="51">
        <f t="shared" si="13"/>
        <v>0.99999999999999989</v>
      </c>
      <c r="BE25" s="52"/>
    </row>
    <row r="26" spans="2:57" x14ac:dyDescent="0.2">
      <c r="B26" s="20">
        <f t="shared" si="8"/>
        <v>18</v>
      </c>
      <c r="C26" s="44">
        <v>1.82E-3</v>
      </c>
      <c r="D26" s="45">
        <v>1E-3</v>
      </c>
      <c r="E26" s="45">
        <v>9.5599999999999993E-4</v>
      </c>
      <c r="F26" s="45">
        <v>6.7199999999999996E-4</v>
      </c>
      <c r="G26" s="45">
        <f>(M26*($G$4+$H$2)+$G$5*O26)*(IF(B26&gt;=Age,$G$1*VLOOKUP('Q-Rates'!B26-Age+1,'Q-Rates'!$BC$8:$BD$128,2,0),1))</f>
        <v>8.5680000000000001E-4</v>
      </c>
      <c r="H26" s="45">
        <f>(N26*($H$4+$H$2)+$H$5*P26)*(IF(B26&gt;=Age,$G$1*VLOOKUP('Q-Rates'!B26-Age+1,'Q-Rates'!$BC$8:$BD$128,2,0),1))</f>
        <v>6.1079999999999999E-4</v>
      </c>
      <c r="I26" s="45">
        <f>(Q26*$I$5)</f>
        <v>3.9240000000000005E-4</v>
      </c>
      <c r="J26" s="45">
        <f t="shared" si="9"/>
        <v>2.9040000000000007E-4</v>
      </c>
      <c r="K26" s="45">
        <f>(S26*$K$5)*(IF(B26&gt;=Age,$K$1*VLOOKUP('Q-Rates'!B26-Age+1,'Q-Rates'!$BC$8:$BD$128,2,0),1))</f>
        <v>1.0260000000000001E-4</v>
      </c>
      <c r="L26" s="45">
        <f>(T26*$L$5)*(IF(B26&gt;=Age,$L$1*VLOOKUP('Q-Rates'!B26-Age+1,'Q-Rates'!$BC$8:$BD$128,2,0),1))</f>
        <v>1.08E-4</v>
      </c>
      <c r="M26" s="45">
        <f>RI!Y4/1000</f>
        <v>7.36E-4</v>
      </c>
      <c r="N26" s="45">
        <f>RI!Z4/1000</f>
        <v>5.1599999999999997E-4</v>
      </c>
      <c r="O26" s="45">
        <f>RI!AB4/1000</f>
        <v>1.6200000000000001E-4</v>
      </c>
      <c r="P26" s="45">
        <f>RI!AC4/1000</f>
        <v>1.2200000000000002E-4</v>
      </c>
      <c r="Q26" s="45">
        <f>RI!AE4/1000</f>
        <v>3.9240000000000005E-4</v>
      </c>
      <c r="R26" s="45">
        <f>RI!AF4/1000</f>
        <v>2.9040000000000007E-4</v>
      </c>
      <c r="S26" s="45">
        <f>RI!AH4/1000</f>
        <v>9.1200000000000008E-5</v>
      </c>
      <c r="T26" s="45">
        <f>RI!AI4/1000</f>
        <v>9.6000000000000002E-5</v>
      </c>
      <c r="U26" s="45"/>
      <c r="V26" s="45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7">
        <v>0</v>
      </c>
      <c r="AO26" s="20">
        <f t="shared" si="10"/>
        <v>19</v>
      </c>
      <c r="AP26" s="48">
        <v>0</v>
      </c>
      <c r="AQ26" s="49">
        <v>0.1</v>
      </c>
      <c r="AR26" s="49">
        <f>IF($AO26&gt;[1]Basic!$D$29,0,VLOOKUP(MIN($AO26,6),[1]Specs!$Q$5:$R$11,2,0))</f>
        <v>0</v>
      </c>
      <c r="AS26" s="49">
        <v>0.08</v>
      </c>
      <c r="AT26" s="50">
        <f t="shared" si="2"/>
        <v>0.03</v>
      </c>
      <c r="AV26" s="20">
        <f t="shared" si="11"/>
        <v>19</v>
      </c>
      <c r="AW26" s="51">
        <f t="shared" si="3"/>
        <v>0</v>
      </c>
      <c r="AX26" s="23">
        <f t="shared" si="4"/>
        <v>0.1</v>
      </c>
      <c r="AY26" s="23">
        <f t="shared" si="5"/>
        <v>0</v>
      </c>
      <c r="AZ26" s="23">
        <f t="shared" si="6"/>
        <v>0.08</v>
      </c>
      <c r="BA26" s="52">
        <f t="shared" si="7"/>
        <v>0.03</v>
      </c>
      <c r="BC26" s="20">
        <f t="shared" si="12"/>
        <v>19</v>
      </c>
      <c r="BD26" s="51">
        <f t="shared" si="13"/>
        <v>0.99999999999999989</v>
      </c>
      <c r="BE26" s="52"/>
    </row>
    <row r="27" spans="2:57" x14ac:dyDescent="0.2">
      <c r="B27" s="20">
        <f t="shared" si="8"/>
        <v>19</v>
      </c>
      <c r="C27" s="44">
        <v>1.8799999999999999E-3</v>
      </c>
      <c r="D27" s="45">
        <v>1.0300000000000001E-3</v>
      </c>
      <c r="E27" s="45">
        <v>9.6800000000000011E-4</v>
      </c>
      <c r="F27" s="45">
        <v>6.7599999999999995E-4</v>
      </c>
      <c r="G27" s="45">
        <f>(M27*($G$4+$H$2)+$G$5*O27)*(IF(B27&gt;=Age,$G$1*VLOOKUP('Q-Rates'!B27-Age+1,'Q-Rates'!$BC$8:$BD$128,2,0),1))</f>
        <v>8.7300000000000008E-4</v>
      </c>
      <c r="H27" s="45">
        <f>(N27*($H$4+$H$2)+$H$5*P27)*(IF(B27&gt;=Age,$G$1*VLOOKUP('Q-Rates'!B27-Age+1,'Q-Rates'!$BC$8:$BD$128,2,0),1))</f>
        <v>6.2700000000000017E-4</v>
      </c>
      <c r="I27" s="45">
        <f t="shared" ref="I27:I90" si="14">(Q27*$I$5)</f>
        <v>3.9240000000000005E-4</v>
      </c>
      <c r="J27" s="45">
        <f t="shared" si="9"/>
        <v>2.9040000000000007E-4</v>
      </c>
      <c r="K27" s="45">
        <f>(S27*$K$5)*(IF(B27&gt;=Age,$K$1*VLOOKUP('Q-Rates'!B27-Age+1,'Q-Rates'!$BC$8:$BD$128,2,0),1))</f>
        <v>1.08E-4</v>
      </c>
      <c r="L27" s="45">
        <f>(T27*$L$5)*(IF(B27&gt;=Age,$L$1*VLOOKUP('Q-Rates'!B27-Age+1,'Q-Rates'!$BC$8:$BD$128,2,0),1))</f>
        <v>1.1339999999999999E-4</v>
      </c>
      <c r="M27" s="45">
        <f>RI!Y5/1000</f>
        <v>7.4600000000000003E-4</v>
      </c>
      <c r="N27" s="45">
        <f>RI!Z5/1000</f>
        <v>5.3400000000000008E-4</v>
      </c>
      <c r="O27" s="45">
        <f>RI!AB5/1000</f>
        <v>1.6799999999999999E-4</v>
      </c>
      <c r="P27" s="45">
        <f>RI!AC5/1000</f>
        <v>1.2200000000000002E-4</v>
      </c>
      <c r="Q27" s="45">
        <f>RI!AE5/1000</f>
        <v>3.9240000000000005E-4</v>
      </c>
      <c r="R27" s="45">
        <f>RI!AF5/1000</f>
        <v>2.9040000000000007E-4</v>
      </c>
      <c r="S27" s="45">
        <f>RI!AH5/1000</f>
        <v>9.6000000000000002E-5</v>
      </c>
      <c r="T27" s="45">
        <f>RI!AI5/1000</f>
        <v>1.008E-4</v>
      </c>
      <c r="U27" s="45"/>
      <c r="V27" s="45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7">
        <v>0</v>
      </c>
      <c r="AO27" s="20">
        <f t="shared" si="10"/>
        <v>20</v>
      </c>
      <c r="AP27" s="48">
        <v>0</v>
      </c>
      <c r="AQ27" s="49">
        <v>0.1</v>
      </c>
      <c r="AR27" s="49">
        <f>IF($AO27&gt;[1]Basic!$D$29,0,VLOOKUP(MIN($AO27,6),[1]Specs!$Q$5:$R$11,2,0))</f>
        <v>0</v>
      </c>
      <c r="AS27" s="49">
        <v>0.08</v>
      </c>
      <c r="AT27" s="50">
        <f t="shared" si="2"/>
        <v>0.03</v>
      </c>
      <c r="AV27" s="20">
        <f t="shared" si="11"/>
        <v>20</v>
      </c>
      <c r="AW27" s="51">
        <f t="shared" si="3"/>
        <v>0</v>
      </c>
      <c r="AX27" s="23">
        <f t="shared" si="4"/>
        <v>0.1</v>
      </c>
      <c r="AY27" s="23">
        <f t="shared" si="5"/>
        <v>0</v>
      </c>
      <c r="AZ27" s="23">
        <f t="shared" si="6"/>
        <v>0.08</v>
      </c>
      <c r="BA27" s="52">
        <f t="shared" si="7"/>
        <v>0.03</v>
      </c>
      <c r="BC27" s="20">
        <f t="shared" si="12"/>
        <v>20</v>
      </c>
      <c r="BD27" s="51">
        <f t="shared" si="13"/>
        <v>0.99999999999999989</v>
      </c>
      <c r="BE27" s="52"/>
    </row>
    <row r="28" spans="2:57" x14ac:dyDescent="0.2">
      <c r="B28" s="20">
        <f t="shared" si="8"/>
        <v>20</v>
      </c>
      <c r="C28" s="44">
        <v>1.9E-3</v>
      </c>
      <c r="D28" s="45">
        <v>1.06E-3</v>
      </c>
      <c r="E28" s="45">
        <v>9.8200000000000002E-4</v>
      </c>
      <c r="F28" s="45">
        <v>7.0799999999999997E-4</v>
      </c>
      <c r="G28" s="45">
        <f>(M28*($G$4+$H$2)+$G$5*O28)*(IF(B28&gt;=Age,$G$1*VLOOKUP('Q-Rates'!B28-Age+1,'Q-Rates'!$BC$8:$BD$128,2,0),1))</f>
        <v>8.9579999999999998E-4</v>
      </c>
      <c r="H28" s="45">
        <f>(N28*($H$4+$H$2)+$H$5*P28)*(IF(B28&gt;=Age,$G$1*VLOOKUP('Q-Rates'!B28-Age+1,'Q-Rates'!$BC$8:$BD$128,2,0),1))</f>
        <v>6.5760000000000015E-4</v>
      </c>
      <c r="I28" s="45">
        <f t="shared" si="14"/>
        <v>3.9840000000000003E-4</v>
      </c>
      <c r="J28" s="45">
        <f t="shared" si="9"/>
        <v>2.9040000000000007E-4</v>
      </c>
      <c r="K28" s="45">
        <f>(S28*$K$5)*(IF(B28&gt;=Age,$K$1*VLOOKUP('Q-Rates'!B28-Age+1,'Q-Rates'!$BC$8:$BD$128,2,0),1))</f>
        <v>1.2060000000000002E-4</v>
      </c>
      <c r="L28" s="45">
        <f>(T28*$L$5)*(IF(B28&gt;=Age,$L$1*VLOOKUP('Q-Rates'!B28-Age+1,'Q-Rates'!$BC$8:$BD$128,2,0),1))</f>
        <v>1.1880000000000001E-4</v>
      </c>
      <c r="M28" s="45">
        <f>RI!Y6/1000</f>
        <v>7.6599999999999997E-4</v>
      </c>
      <c r="N28" s="45">
        <f>RI!Z6/1000</f>
        <v>5.6000000000000006E-4</v>
      </c>
      <c r="O28" s="45">
        <f>RI!AB6/1000</f>
        <v>1.7199999999999998E-4</v>
      </c>
      <c r="P28" s="45">
        <f>RI!AC6/1000</f>
        <v>1.2799999999999999E-4</v>
      </c>
      <c r="Q28" s="45">
        <f>RI!AE6/1000</f>
        <v>3.9840000000000003E-4</v>
      </c>
      <c r="R28" s="45">
        <f>RI!AF6/1000</f>
        <v>2.9040000000000007E-4</v>
      </c>
      <c r="S28" s="45">
        <f>RI!AH6/1000</f>
        <v>1.0720000000000002E-4</v>
      </c>
      <c r="T28" s="45">
        <f>RI!AI6/1000</f>
        <v>1.0560000000000002E-4</v>
      </c>
      <c r="U28" s="45"/>
      <c r="V28" s="45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>
        <v>0</v>
      </c>
      <c r="AO28" s="20">
        <f t="shared" si="10"/>
        <v>21</v>
      </c>
      <c r="AP28" s="48">
        <v>0</v>
      </c>
      <c r="AQ28" s="49">
        <v>0.1</v>
      </c>
      <c r="AR28" s="49">
        <f>IF($AO28&gt;[1]Basic!$D$29,0,VLOOKUP(MIN($AO28,6),[1]Specs!$Q$5:$R$11,2,0))</f>
        <v>0</v>
      </c>
      <c r="AS28" s="49">
        <v>0.08</v>
      </c>
      <c r="AT28" s="50">
        <f t="shared" si="2"/>
        <v>0</v>
      </c>
      <c r="AV28" s="20">
        <f t="shared" si="11"/>
        <v>21</v>
      </c>
      <c r="AW28" s="51">
        <f t="shared" si="3"/>
        <v>0</v>
      </c>
      <c r="AX28" s="23">
        <f t="shared" si="4"/>
        <v>0.1</v>
      </c>
      <c r="AY28" s="23">
        <f t="shared" si="5"/>
        <v>0</v>
      </c>
      <c r="AZ28" s="23">
        <f t="shared" si="6"/>
        <v>0.08</v>
      </c>
      <c r="BA28" s="52">
        <f t="shared" si="7"/>
        <v>0</v>
      </c>
      <c r="BC28" s="20">
        <f t="shared" si="12"/>
        <v>21</v>
      </c>
      <c r="BD28" s="51">
        <f t="shared" si="13"/>
        <v>0.99999999999999989</v>
      </c>
      <c r="BE28" s="52"/>
    </row>
    <row r="29" spans="2:57" x14ac:dyDescent="0.2">
      <c r="B29" s="20">
        <f t="shared" si="8"/>
        <v>21</v>
      </c>
      <c r="C29" s="44">
        <v>1.9E-3</v>
      </c>
      <c r="D29" s="45">
        <v>1.08E-3</v>
      </c>
      <c r="E29" s="45">
        <v>1.0120000000000001E-3</v>
      </c>
      <c r="F29" s="45">
        <v>7.4600000000000003E-4</v>
      </c>
      <c r="G29" s="45">
        <f>(M29*($G$4+$H$2)+$G$5*O29)*(IF(B29&gt;=Age,$G$1*VLOOKUP('Q-Rates'!B29-Age+1,'Q-Rates'!$BC$8:$BD$128,2,0),1))</f>
        <v>9.0839999999999996E-4</v>
      </c>
      <c r="H29" s="45">
        <f>(N29*($H$4+$H$2)+$H$5*P29)*(IF(B29&gt;=Age,$G$1*VLOOKUP('Q-Rates'!B29-Age+1,'Q-Rates'!$BC$8:$BD$128,2,0),1))</f>
        <v>6.6660000000000005E-4</v>
      </c>
      <c r="I29" s="45">
        <f t="shared" si="14"/>
        <v>3.9840000000000003E-4</v>
      </c>
      <c r="J29" s="45">
        <f t="shared" si="9"/>
        <v>2.9040000000000007E-4</v>
      </c>
      <c r="K29" s="45">
        <f>(S29*$K$5)*(IF(B29&gt;=Age,$K$1*VLOOKUP('Q-Rates'!B29-Age+1,'Q-Rates'!$BC$8:$BD$128,2,0),1))</f>
        <v>1.2960000000000001E-4</v>
      </c>
      <c r="L29" s="45">
        <f>(T29*$L$5)*(IF(B29&gt;=Age,$L$1*VLOOKUP('Q-Rates'!B29-Age+1,'Q-Rates'!$BC$8:$BD$128,2,0),1))</f>
        <v>1.2420000000000001E-4</v>
      </c>
      <c r="M29" s="45">
        <f>RI!Y7/1000</f>
        <v>7.7999999999999999E-4</v>
      </c>
      <c r="N29" s="45">
        <f>RI!Z7/1000</f>
        <v>5.7000000000000009E-4</v>
      </c>
      <c r="O29" s="45">
        <f>RI!AB7/1000</f>
        <v>1.7199999999999998E-4</v>
      </c>
      <c r="P29" s="45">
        <f>RI!AC7/1000</f>
        <v>1.2799999999999999E-4</v>
      </c>
      <c r="Q29" s="45">
        <f>RI!AE7/1000</f>
        <v>3.9840000000000003E-4</v>
      </c>
      <c r="R29" s="45">
        <f>RI!AF7/1000</f>
        <v>2.9040000000000007E-4</v>
      </c>
      <c r="S29" s="45">
        <f>RI!AH7/1000</f>
        <v>1.1519999999999999E-4</v>
      </c>
      <c r="T29" s="45">
        <f>RI!AI7/1000</f>
        <v>1.1040000000000001E-4</v>
      </c>
      <c r="U29" s="45"/>
      <c r="V29" s="45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7">
        <v>0</v>
      </c>
      <c r="AO29" s="20">
        <f t="shared" si="10"/>
        <v>22</v>
      </c>
      <c r="AP29" s="48">
        <v>0</v>
      </c>
      <c r="AQ29" s="49">
        <v>0.1</v>
      </c>
      <c r="AR29" s="49">
        <f>IF($AO29&gt;[1]Basic!$D$29,0,VLOOKUP(MIN($AO29,6),[1]Specs!$Q$5:$R$11,2,0))</f>
        <v>0</v>
      </c>
      <c r="AS29" s="49">
        <v>0.08</v>
      </c>
      <c r="AT29" s="50">
        <f t="shared" si="2"/>
        <v>0</v>
      </c>
      <c r="AV29" s="20">
        <f t="shared" si="11"/>
        <v>22</v>
      </c>
      <c r="AW29" s="51">
        <f t="shared" si="3"/>
        <v>0</v>
      </c>
      <c r="AX29" s="23">
        <f t="shared" si="4"/>
        <v>0.1</v>
      </c>
      <c r="AY29" s="23">
        <f t="shared" si="5"/>
        <v>0</v>
      </c>
      <c r="AZ29" s="23">
        <f t="shared" si="6"/>
        <v>0.08</v>
      </c>
      <c r="BA29" s="52">
        <f t="shared" si="7"/>
        <v>0</v>
      </c>
      <c r="BC29" s="20">
        <f t="shared" si="12"/>
        <v>22</v>
      </c>
      <c r="BD29" s="51">
        <f t="shared" si="13"/>
        <v>0.99999999999999989</v>
      </c>
      <c r="BE29" s="52"/>
    </row>
    <row r="30" spans="2:57" x14ac:dyDescent="0.2">
      <c r="B30" s="20">
        <f t="shared" si="8"/>
        <v>22</v>
      </c>
      <c r="C30" s="44">
        <v>1.8799999999999999E-3</v>
      </c>
      <c r="D30" s="45">
        <v>1.1000000000000001E-3</v>
      </c>
      <c r="E30" s="45">
        <v>1.042E-3</v>
      </c>
      <c r="F30" s="45">
        <v>7.94E-4</v>
      </c>
      <c r="G30" s="45">
        <f>(M30*($G$4+$H$2)+$G$5*O30)*(IF(B30&gt;=Age,$G$1*VLOOKUP('Q-Rates'!B30-Age+1,'Q-Rates'!$BC$8:$BD$128,2,0),1))</f>
        <v>9.1560000000000014E-4</v>
      </c>
      <c r="H30" s="45">
        <f>(N30*($H$4+$H$2)+$H$5*P30)*(IF(B30&gt;=Age,$G$1*VLOOKUP('Q-Rates'!B30-Age+1,'Q-Rates'!$BC$8:$BD$128,2,0),1))</f>
        <v>6.8460000000000005E-4</v>
      </c>
      <c r="I30" s="45">
        <f t="shared" si="14"/>
        <v>3.9840000000000003E-4</v>
      </c>
      <c r="J30" s="45">
        <f t="shared" si="9"/>
        <v>2.9040000000000007E-4</v>
      </c>
      <c r="K30" s="45">
        <f>(S30*$K$5)*(IF(B30&gt;=Age,$K$1*VLOOKUP('Q-Rates'!B30-Age+1,'Q-Rates'!$BC$8:$BD$128,2,0),1))</f>
        <v>1.4220000000000004E-4</v>
      </c>
      <c r="L30" s="45">
        <f>(T30*$L$5)*(IF(B30&gt;=Age,$L$1*VLOOKUP('Q-Rates'!B30-Age+1,'Q-Rates'!$BC$8:$BD$128,2,0),1))</f>
        <v>1.3680000000000002E-4</v>
      </c>
      <c r="M30" s="45">
        <f>RI!Y8/1000</f>
        <v>7.8800000000000007E-4</v>
      </c>
      <c r="N30" s="45">
        <f>RI!Z8/1000</f>
        <v>5.9000000000000003E-4</v>
      </c>
      <c r="O30" s="45">
        <f>RI!AB8/1000</f>
        <v>1.7199999999999998E-4</v>
      </c>
      <c r="P30" s="45">
        <f>RI!AC8/1000</f>
        <v>1.2799999999999999E-4</v>
      </c>
      <c r="Q30" s="45">
        <f>RI!AE8/1000</f>
        <v>3.9840000000000003E-4</v>
      </c>
      <c r="R30" s="45">
        <f>RI!AF8/1000</f>
        <v>2.9040000000000007E-4</v>
      </c>
      <c r="S30" s="45">
        <f>RI!AH8/1000</f>
        <v>1.2640000000000004E-4</v>
      </c>
      <c r="T30" s="45">
        <f>RI!AI8/1000</f>
        <v>1.2160000000000003E-4</v>
      </c>
      <c r="U30" s="45"/>
      <c r="V30" s="45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7">
        <v>0</v>
      </c>
      <c r="AO30" s="20">
        <f t="shared" si="10"/>
        <v>23</v>
      </c>
      <c r="AP30" s="48">
        <v>0</v>
      </c>
      <c r="AQ30" s="49">
        <v>0.1</v>
      </c>
      <c r="AR30" s="49">
        <f>IF($AO30&gt;[1]Basic!$D$29,0,VLOOKUP(MIN($AO30,6),[1]Specs!$Q$5:$R$11,2,0))</f>
        <v>0</v>
      </c>
      <c r="AS30" s="49">
        <v>0.08</v>
      </c>
      <c r="AT30" s="50">
        <f t="shared" si="2"/>
        <v>0</v>
      </c>
      <c r="AV30" s="20">
        <f t="shared" si="11"/>
        <v>23</v>
      </c>
      <c r="AW30" s="51">
        <f t="shared" si="3"/>
        <v>0</v>
      </c>
      <c r="AX30" s="23">
        <f t="shared" si="4"/>
        <v>0.1</v>
      </c>
      <c r="AY30" s="23">
        <f t="shared" si="5"/>
        <v>0</v>
      </c>
      <c r="AZ30" s="23">
        <f t="shared" si="6"/>
        <v>0.08</v>
      </c>
      <c r="BA30" s="52">
        <f t="shared" si="7"/>
        <v>0</v>
      </c>
      <c r="BC30" s="20">
        <f t="shared" si="12"/>
        <v>23</v>
      </c>
      <c r="BD30" s="51">
        <f t="shared" si="13"/>
        <v>0.99999999999999989</v>
      </c>
      <c r="BE30" s="52"/>
    </row>
    <row r="31" spans="2:57" x14ac:dyDescent="0.2">
      <c r="B31" s="20">
        <f t="shared" si="8"/>
        <v>23</v>
      </c>
      <c r="C31" s="44">
        <v>1.8400000000000001E-3</v>
      </c>
      <c r="D31" s="45">
        <v>1.1199999999999999E-3</v>
      </c>
      <c r="E31" s="45">
        <v>1.072E-3</v>
      </c>
      <c r="F31" s="45">
        <v>8.3000000000000012E-4</v>
      </c>
      <c r="G31" s="45">
        <f>(M31*($G$4+$H$2)+$G$5*O31)*(IF(B31&gt;=Age,$G$1*VLOOKUP('Q-Rates'!B31-Age+1,'Q-Rates'!$BC$8:$BD$128,2,0),1))</f>
        <v>9.2700000000000009E-4</v>
      </c>
      <c r="H31" s="45">
        <f>(N31*($H$4+$H$2)+$H$5*P31)*(IF(B31&gt;=Age,$G$1*VLOOKUP('Q-Rates'!B31-Age+1,'Q-Rates'!$BC$8:$BD$128,2,0),1))</f>
        <v>7.3139999999999989E-4</v>
      </c>
      <c r="I31" s="45">
        <f t="shared" si="14"/>
        <v>3.9240000000000005E-4</v>
      </c>
      <c r="J31" s="45">
        <f t="shared" si="9"/>
        <v>2.9040000000000007E-4</v>
      </c>
      <c r="K31" s="45">
        <f>(S31*$K$5)*(IF(B31&gt;=Age,$K$1*VLOOKUP('Q-Rates'!B31-Age+1,'Q-Rates'!$BC$8:$BD$128,2,0),1))</f>
        <v>1.5480000000000005E-4</v>
      </c>
      <c r="L31" s="45">
        <f>(T31*$L$5)*(IF(B31&gt;=Age,$L$1*VLOOKUP('Q-Rates'!B31-Age+1,'Q-Rates'!$BC$8:$BD$128,2,0),1))</f>
        <v>1.5480000000000005E-4</v>
      </c>
      <c r="M31" s="45">
        <f>RI!Y9/1000</f>
        <v>8.0600000000000008E-4</v>
      </c>
      <c r="N31" s="45">
        <f>RI!Z9/1000</f>
        <v>6.3399999999999991E-4</v>
      </c>
      <c r="O31" s="45">
        <f>RI!AB9/1000</f>
        <v>1.6799999999999999E-4</v>
      </c>
      <c r="P31" s="45">
        <f>RI!AC9/1000</f>
        <v>1.34E-4</v>
      </c>
      <c r="Q31" s="45">
        <f>RI!AE9/1000</f>
        <v>3.9240000000000005E-4</v>
      </c>
      <c r="R31" s="45">
        <f>RI!AF9/1000</f>
        <v>2.9040000000000007E-4</v>
      </c>
      <c r="S31" s="45">
        <f>RI!AH9/1000</f>
        <v>1.3760000000000004E-4</v>
      </c>
      <c r="T31" s="45">
        <f>RI!AI9/1000</f>
        <v>1.3760000000000004E-4</v>
      </c>
      <c r="U31" s="45"/>
      <c r="V31" s="45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>
        <v>0</v>
      </c>
      <c r="AO31" s="20">
        <f t="shared" si="10"/>
        <v>24</v>
      </c>
      <c r="AP31" s="48">
        <v>0</v>
      </c>
      <c r="AQ31" s="49">
        <v>0.1</v>
      </c>
      <c r="AR31" s="49">
        <f>IF($AO31&gt;[1]Basic!$D$29,0,VLOOKUP(MIN($AO31,6),[1]Specs!$Q$5:$R$11,2,0))</f>
        <v>0</v>
      </c>
      <c r="AS31" s="49">
        <v>0.08</v>
      </c>
      <c r="AT31" s="50">
        <f t="shared" si="2"/>
        <v>0</v>
      </c>
      <c r="AV31" s="20">
        <f t="shared" si="11"/>
        <v>24</v>
      </c>
      <c r="AW31" s="51">
        <f t="shared" si="3"/>
        <v>0</v>
      </c>
      <c r="AX31" s="23">
        <f t="shared" si="4"/>
        <v>0.1</v>
      </c>
      <c r="AY31" s="23">
        <f t="shared" si="5"/>
        <v>0</v>
      </c>
      <c r="AZ31" s="23">
        <f t="shared" si="6"/>
        <v>0.08</v>
      </c>
      <c r="BA31" s="52">
        <f t="shared" si="7"/>
        <v>0</v>
      </c>
      <c r="BC31" s="20">
        <f t="shared" si="12"/>
        <v>24</v>
      </c>
      <c r="BD31" s="51">
        <f t="shared" si="13"/>
        <v>0.99999999999999989</v>
      </c>
      <c r="BE31" s="52"/>
    </row>
    <row r="32" spans="2:57" x14ac:dyDescent="0.2">
      <c r="B32" s="20">
        <f t="shared" si="8"/>
        <v>24</v>
      </c>
      <c r="C32" s="44">
        <v>1.8E-3</v>
      </c>
      <c r="D32" s="45">
        <v>1.15E-3</v>
      </c>
      <c r="E32" s="45">
        <v>1.1019999999999999E-3</v>
      </c>
      <c r="F32" s="45">
        <v>8.5400000000000005E-4</v>
      </c>
      <c r="G32" s="45">
        <f>(M32*($G$4+$H$2)+$G$5*O32)*(IF(B32&gt;=Age,$G$1*VLOOKUP('Q-Rates'!B32-Age+1,'Q-Rates'!$BC$8:$BD$128,2,0),1))</f>
        <v>9.6480000000000003E-4</v>
      </c>
      <c r="H32" s="45">
        <f>(N32*($H$4+$H$2)+$H$5*P32)*(IF(B32&gt;=Age,$G$1*VLOOKUP('Q-Rates'!B32-Age+1,'Q-Rates'!$BC$8:$BD$128,2,0),1))</f>
        <v>7.6560000000000007E-4</v>
      </c>
      <c r="I32" s="45">
        <f t="shared" si="14"/>
        <v>3.9240000000000005E-4</v>
      </c>
      <c r="J32" s="45">
        <f t="shared" si="9"/>
        <v>2.9040000000000007E-4</v>
      </c>
      <c r="K32" s="45">
        <f>(S32*$K$5)*(IF(B32&gt;=Age,$K$1*VLOOKUP('Q-Rates'!B32-Age+1,'Q-Rates'!$BC$8:$BD$128,2,0),1))</f>
        <v>1.7100000000000004E-4</v>
      </c>
      <c r="L32" s="45">
        <f>(T32*$L$5)*(IF(B32&gt;=Age,$L$1*VLOOKUP('Q-Rates'!B32-Age+1,'Q-Rates'!$BC$8:$BD$128,2,0),1))</f>
        <v>1.674E-4</v>
      </c>
      <c r="M32" s="45">
        <f>RI!Y10/1000</f>
        <v>8.4800000000000001E-4</v>
      </c>
      <c r="N32" s="45">
        <f>RI!Z10/1000</f>
        <v>6.7200000000000007E-4</v>
      </c>
      <c r="O32" s="45">
        <f>RI!AB10/1000</f>
        <v>1.6799999999999999E-4</v>
      </c>
      <c r="P32" s="45">
        <f>RI!AC10/1000</f>
        <v>1.34E-4</v>
      </c>
      <c r="Q32" s="45">
        <f>RI!AE10/1000</f>
        <v>3.9240000000000005E-4</v>
      </c>
      <c r="R32" s="45">
        <f>RI!AF10/1000</f>
        <v>2.9040000000000007E-4</v>
      </c>
      <c r="S32" s="45">
        <f>RI!AH10/1000</f>
        <v>1.5200000000000004E-4</v>
      </c>
      <c r="T32" s="45">
        <f>RI!AI10/1000</f>
        <v>1.4880000000000001E-4</v>
      </c>
      <c r="U32" s="45"/>
      <c r="V32" s="45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7">
        <v>0</v>
      </c>
      <c r="AO32" s="20">
        <f t="shared" si="10"/>
        <v>25</v>
      </c>
      <c r="AP32" s="48">
        <v>0</v>
      </c>
      <c r="AQ32" s="49">
        <v>0.1</v>
      </c>
      <c r="AR32" s="49">
        <f>IF($AO32&gt;[1]Basic!$D$29,0,VLOOKUP(MIN($AO32,6),[1]Specs!$Q$5:$R$11,2,0))</f>
        <v>0</v>
      </c>
      <c r="AS32" s="49">
        <v>0.08</v>
      </c>
      <c r="AT32" s="50">
        <f t="shared" si="2"/>
        <v>0</v>
      </c>
      <c r="AV32" s="20">
        <f t="shared" si="11"/>
        <v>25</v>
      </c>
      <c r="AW32" s="51">
        <f t="shared" si="3"/>
        <v>0</v>
      </c>
      <c r="AX32" s="23">
        <f t="shared" si="4"/>
        <v>0.1</v>
      </c>
      <c r="AY32" s="23">
        <f t="shared" si="5"/>
        <v>0</v>
      </c>
      <c r="AZ32" s="23">
        <f t="shared" si="6"/>
        <v>0.08</v>
      </c>
      <c r="BA32" s="52">
        <f t="shared" si="7"/>
        <v>0</v>
      </c>
      <c r="BC32" s="20">
        <f t="shared" si="12"/>
        <v>25</v>
      </c>
      <c r="BD32" s="51">
        <f t="shared" si="13"/>
        <v>0.99999999999999989</v>
      </c>
      <c r="BE32" s="52"/>
    </row>
    <row r="33" spans="2:57" x14ac:dyDescent="0.2">
      <c r="B33" s="20">
        <f t="shared" si="8"/>
        <v>25</v>
      </c>
      <c r="C33" s="44">
        <v>1.75E-3</v>
      </c>
      <c r="D33" s="45">
        <v>1.17E-3</v>
      </c>
      <c r="E33" s="45">
        <v>1.1440000000000001E-3</v>
      </c>
      <c r="F33" s="45">
        <v>8.8400000000000013E-4</v>
      </c>
      <c r="G33" s="45">
        <f>(M33*($G$4+$H$2)+$G$5*O33)*(IF(B33&gt;=Age,$G$1*VLOOKUP('Q-Rates'!B33-Age+1,'Q-Rates'!$BC$8:$BD$128,2,0),1))</f>
        <v>9.9179999999999993E-4</v>
      </c>
      <c r="H33" s="45">
        <f>(N33*($H$4+$H$2)+$H$5*P33)*(IF(B33&gt;=Age,$G$1*VLOOKUP('Q-Rates'!B33-Age+1,'Q-Rates'!$BC$8:$BD$128,2,0),1))</f>
        <v>7.7640000000000001E-4</v>
      </c>
      <c r="I33" s="45">
        <f t="shared" si="14"/>
        <v>3.9240000000000005E-4</v>
      </c>
      <c r="J33" s="45">
        <f t="shared" si="9"/>
        <v>2.9040000000000007E-4</v>
      </c>
      <c r="K33" s="45">
        <f>(S33*$K$5)*(IF(B33&gt;=Age,$K$1*VLOOKUP('Q-Rates'!B33-Age+1,'Q-Rates'!$BC$8:$BD$128,2,0),1))</f>
        <v>1.8360000000000002E-4</v>
      </c>
      <c r="L33" s="45">
        <f>(T33*$L$5)*(IF(B33&gt;=Age,$L$1*VLOOKUP('Q-Rates'!B33-Age+1,'Q-Rates'!$BC$8:$BD$128,2,0),1))</f>
        <v>1.8540000000000003E-4</v>
      </c>
      <c r="M33" s="45">
        <f>RI!Y11/1000</f>
        <v>8.7799999999999987E-4</v>
      </c>
      <c r="N33" s="45">
        <f>RI!Z11/1000</f>
        <v>6.8400000000000004E-4</v>
      </c>
      <c r="O33" s="45">
        <f>RI!AB11/1000</f>
        <v>1.6799999999999999E-4</v>
      </c>
      <c r="P33" s="45">
        <f>RI!AC11/1000</f>
        <v>1.34E-4</v>
      </c>
      <c r="Q33" s="45">
        <f>RI!AE11/1000</f>
        <v>3.9240000000000005E-4</v>
      </c>
      <c r="R33" s="45">
        <f>RI!AF11/1000</f>
        <v>2.9040000000000007E-4</v>
      </c>
      <c r="S33" s="45">
        <f>RI!AH11/1000</f>
        <v>1.6320000000000001E-4</v>
      </c>
      <c r="T33" s="45">
        <f>RI!AI11/1000</f>
        <v>1.6480000000000002E-4</v>
      </c>
      <c r="U33" s="45"/>
      <c r="V33" s="45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7">
        <v>0</v>
      </c>
      <c r="AO33" s="20">
        <f t="shared" si="10"/>
        <v>26</v>
      </c>
      <c r="AP33" s="48">
        <v>0</v>
      </c>
      <c r="AQ33" s="49">
        <v>0.1</v>
      </c>
      <c r="AR33" s="49">
        <f>IF($AO33&gt;[1]Basic!$D$29,0,VLOOKUP(MIN($AO33,6),[1]Specs!$Q$5:$R$11,2,0))</f>
        <v>0</v>
      </c>
      <c r="AS33" s="49">
        <v>0.08</v>
      </c>
      <c r="AT33" s="50">
        <f t="shared" si="2"/>
        <v>0</v>
      </c>
      <c r="AV33" s="20">
        <f t="shared" si="11"/>
        <v>26</v>
      </c>
      <c r="AW33" s="51">
        <f t="shared" si="3"/>
        <v>0</v>
      </c>
      <c r="AX33" s="23">
        <f t="shared" si="4"/>
        <v>0.1</v>
      </c>
      <c r="AY33" s="23">
        <f t="shared" si="5"/>
        <v>0</v>
      </c>
      <c r="AZ33" s="23">
        <f t="shared" si="6"/>
        <v>0.08</v>
      </c>
      <c r="BA33" s="52">
        <f t="shared" si="7"/>
        <v>0</v>
      </c>
      <c r="BC33" s="20">
        <f t="shared" si="12"/>
        <v>26</v>
      </c>
      <c r="BD33" s="51">
        <f t="shared" si="13"/>
        <v>0.99999999999999989</v>
      </c>
      <c r="BE33" s="52"/>
    </row>
    <row r="34" spans="2:57" x14ac:dyDescent="0.2">
      <c r="B34" s="20">
        <f t="shared" si="8"/>
        <v>26</v>
      </c>
      <c r="C34" s="44">
        <v>1.72E-3</v>
      </c>
      <c r="D34" s="45">
        <v>1.1999999999999999E-3</v>
      </c>
      <c r="E34" s="45">
        <v>1.1739999999999999E-3</v>
      </c>
      <c r="F34" s="45">
        <v>8.9000000000000017E-4</v>
      </c>
      <c r="G34" s="45">
        <f>(M34*($G$4+$H$2)+$G$5*O34)*(IF(B34&gt;=Age,$G$1*VLOOKUP('Q-Rates'!B34-Age+1,'Q-Rates'!$BC$8:$BD$128,2,0),1))</f>
        <v>1.026E-3</v>
      </c>
      <c r="H34" s="45">
        <f>(N34*($H$4+$H$2)+$H$5*P34)*(IF(B34&gt;=Age,$G$1*VLOOKUP('Q-Rates'!B34-Age+1,'Q-Rates'!$BC$8:$BD$128,2,0),1))</f>
        <v>8.0520000000000006E-4</v>
      </c>
      <c r="I34" s="45">
        <f t="shared" si="14"/>
        <v>3.8640000000000001E-4</v>
      </c>
      <c r="J34" s="45">
        <f t="shared" si="9"/>
        <v>2.9040000000000007E-4</v>
      </c>
      <c r="K34" s="45">
        <f>(S34*$K$5)*(IF(B34&gt;=Age,$K$1*VLOOKUP('Q-Rates'!B34-Age+1,'Q-Rates'!$BC$8:$BD$128,2,0),1))</f>
        <v>2.0159999999999999E-4</v>
      </c>
      <c r="L34" s="45">
        <f>(T34*$L$5)*(IF(B34&gt;=Age,$L$1*VLOOKUP('Q-Rates'!B34-Age+1,'Q-Rates'!$BC$8:$BD$128,2,0),1))</f>
        <v>2.1420000000000003E-4</v>
      </c>
      <c r="M34" s="45">
        <f>RI!Y12/1000</f>
        <v>9.0800000000000006E-4</v>
      </c>
      <c r="N34" s="45">
        <f>RI!Z12/1000</f>
        <v>7.0800000000000008E-4</v>
      </c>
      <c r="O34" s="45">
        <f>RI!AB12/1000</f>
        <v>1.74E-4</v>
      </c>
      <c r="P34" s="45">
        <f>RI!AC12/1000</f>
        <v>1.4000000000000001E-4</v>
      </c>
      <c r="Q34" s="45">
        <f>RI!AE12/1000</f>
        <v>3.8640000000000001E-4</v>
      </c>
      <c r="R34" s="45">
        <f>RI!AF12/1000</f>
        <v>2.9040000000000007E-4</v>
      </c>
      <c r="S34" s="45">
        <f>RI!AH12/1000</f>
        <v>1.7919999999999999E-4</v>
      </c>
      <c r="T34" s="45">
        <f>RI!AI12/1000</f>
        <v>1.9040000000000002E-4</v>
      </c>
      <c r="U34" s="45"/>
      <c r="V34" s="45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7">
        <v>0</v>
      </c>
      <c r="AO34" s="20">
        <f t="shared" si="10"/>
        <v>27</v>
      </c>
      <c r="AP34" s="48">
        <v>0</v>
      </c>
      <c r="AQ34" s="49">
        <v>0.1</v>
      </c>
      <c r="AR34" s="49">
        <f>IF($AO34&gt;[1]Basic!$D$29,0,VLOOKUP(MIN($AO34,6),[1]Specs!$Q$5:$R$11,2,0))</f>
        <v>0</v>
      </c>
      <c r="AS34" s="49">
        <v>0.08</v>
      </c>
      <c r="AT34" s="50">
        <f t="shared" si="2"/>
        <v>0</v>
      </c>
      <c r="AV34" s="20">
        <f t="shared" si="11"/>
        <v>27</v>
      </c>
      <c r="AW34" s="51">
        <f t="shared" si="3"/>
        <v>0</v>
      </c>
      <c r="AX34" s="23">
        <f t="shared" si="4"/>
        <v>0.1</v>
      </c>
      <c r="AY34" s="23">
        <f t="shared" si="5"/>
        <v>0</v>
      </c>
      <c r="AZ34" s="23">
        <f t="shared" si="6"/>
        <v>0.08</v>
      </c>
      <c r="BA34" s="52">
        <f t="shared" si="7"/>
        <v>0</v>
      </c>
      <c r="BC34" s="20">
        <f t="shared" si="12"/>
        <v>27</v>
      </c>
      <c r="BD34" s="51">
        <f t="shared" si="13"/>
        <v>0.99999999999999989</v>
      </c>
      <c r="BE34" s="52"/>
    </row>
    <row r="35" spans="2:57" x14ac:dyDescent="0.2">
      <c r="B35" s="20">
        <f t="shared" si="8"/>
        <v>27</v>
      </c>
      <c r="C35" s="44">
        <v>1.7099999999999999E-3</v>
      </c>
      <c r="D35" s="45">
        <v>1.24E-3</v>
      </c>
      <c r="E35" s="45">
        <v>1.2079999999999999E-3</v>
      </c>
      <c r="F35" s="45">
        <v>9.1199999999999994E-4</v>
      </c>
      <c r="G35" s="45">
        <f>(M35*($G$4+$H$2)+$G$5*O35)*(IF(B35&gt;=Age,$G$1*VLOOKUP('Q-Rates'!B35-Age+1,'Q-Rates'!$BC$8:$BD$128,2,0),1))</f>
        <v>1.0584000000000001E-3</v>
      </c>
      <c r="H35" s="45">
        <f>(N35*($H$4+$H$2)+$H$5*P35)*(IF(B35&gt;=Age,$G$1*VLOOKUP('Q-Rates'!B35-Age+1,'Q-Rates'!$BC$8:$BD$128,2,0),1))</f>
        <v>8.2139999999999991E-4</v>
      </c>
      <c r="I35" s="45">
        <f t="shared" si="14"/>
        <v>3.8640000000000001E-4</v>
      </c>
      <c r="J35" s="45">
        <f t="shared" si="9"/>
        <v>2.9040000000000007E-4</v>
      </c>
      <c r="K35" s="45">
        <f>(S35*$K$5)*(IF(B35&gt;=Age,$K$1*VLOOKUP('Q-Rates'!B35-Age+1,'Q-Rates'!$BC$8:$BD$128,2,0),1))</f>
        <v>2.1779999999999998E-4</v>
      </c>
      <c r="L35" s="45">
        <f>(T35*$L$5)*(IF(B35&gt;=Age,$L$1*VLOOKUP('Q-Rates'!B35-Age+1,'Q-Rates'!$BC$8:$BD$128,2,0),1))</f>
        <v>2.3940000000000002E-4</v>
      </c>
      <c r="M35" s="45">
        <f>RI!Y13/1000</f>
        <v>9.4400000000000007E-4</v>
      </c>
      <c r="N35" s="45">
        <f>RI!Z13/1000</f>
        <v>7.2599999999999997E-4</v>
      </c>
      <c r="O35" s="45">
        <f>RI!AB13/1000</f>
        <v>1.74E-4</v>
      </c>
      <c r="P35" s="45">
        <f>RI!AC13/1000</f>
        <v>1.4000000000000001E-4</v>
      </c>
      <c r="Q35" s="45">
        <f>RI!AE13/1000</f>
        <v>3.8640000000000001E-4</v>
      </c>
      <c r="R35" s="45">
        <f>RI!AF13/1000</f>
        <v>2.9040000000000007E-4</v>
      </c>
      <c r="S35" s="45">
        <f>RI!AH13/1000</f>
        <v>1.9359999999999999E-4</v>
      </c>
      <c r="T35" s="45">
        <f>RI!AI13/1000</f>
        <v>2.1280000000000002E-4</v>
      </c>
      <c r="U35" s="45"/>
      <c r="V35" s="45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7">
        <v>0</v>
      </c>
      <c r="AO35" s="20">
        <f t="shared" si="10"/>
        <v>28</v>
      </c>
      <c r="AP35" s="48">
        <v>0</v>
      </c>
      <c r="AQ35" s="49">
        <v>0.1</v>
      </c>
      <c r="AR35" s="49">
        <f>IF($AO35&gt;[1]Basic!$D$29,0,VLOOKUP(MIN($AO35,6),[1]Specs!$Q$5:$R$11,2,0))</f>
        <v>0</v>
      </c>
      <c r="AS35" s="49">
        <v>0.08</v>
      </c>
      <c r="AT35" s="50">
        <f t="shared" si="2"/>
        <v>0</v>
      </c>
      <c r="AV35" s="20">
        <f t="shared" si="11"/>
        <v>28</v>
      </c>
      <c r="AW35" s="51">
        <f t="shared" si="3"/>
        <v>0</v>
      </c>
      <c r="AX35" s="23">
        <f t="shared" si="4"/>
        <v>0.1</v>
      </c>
      <c r="AY35" s="23">
        <f t="shared" si="5"/>
        <v>0</v>
      </c>
      <c r="AZ35" s="23">
        <f t="shared" si="6"/>
        <v>0.08</v>
      </c>
      <c r="BA35" s="52">
        <f t="shared" si="7"/>
        <v>0</v>
      </c>
      <c r="BC35" s="20">
        <f t="shared" si="12"/>
        <v>28</v>
      </c>
      <c r="BD35" s="51">
        <f t="shared" si="13"/>
        <v>0.99999999999999989</v>
      </c>
      <c r="BE35" s="52"/>
    </row>
    <row r="36" spans="2:57" x14ac:dyDescent="0.2">
      <c r="B36" s="20">
        <f t="shared" si="8"/>
        <v>28</v>
      </c>
      <c r="C36" s="44">
        <v>1.6999999999999999E-3</v>
      </c>
      <c r="D36" s="45">
        <v>1.2800000000000001E-3</v>
      </c>
      <c r="E36" s="45">
        <v>1.2539999999999999E-3</v>
      </c>
      <c r="F36" s="45">
        <v>9.4199999999999991E-4</v>
      </c>
      <c r="G36" s="45">
        <f>(M36*($G$4+$H$2)+$G$5*O36)*(IF(B36&gt;=Age,$G$1*VLOOKUP('Q-Rates'!B36-Age+1,'Q-Rates'!$BC$8:$BD$128,2,0),1))</f>
        <v>1.0980000000000002E-3</v>
      </c>
      <c r="H36" s="45">
        <f>(N36*($H$4+$H$2)+$H$5*P36)*(IF(B36&gt;=Age,$G$1*VLOOKUP('Q-Rates'!B36-Age+1,'Q-Rates'!$BC$8:$BD$128,2,0),1))</f>
        <v>8.3219999999999995E-4</v>
      </c>
      <c r="I36" s="45">
        <f t="shared" si="14"/>
        <v>3.8640000000000001E-4</v>
      </c>
      <c r="J36" s="45">
        <f t="shared" si="9"/>
        <v>2.9040000000000007E-4</v>
      </c>
      <c r="K36" s="45">
        <f>(S36*$K$5)*(IF(B36&gt;=Age,$K$1*VLOOKUP('Q-Rates'!B36-Age+1,'Q-Rates'!$BC$8:$BD$128,2,0),1))</f>
        <v>2.4479999999999999E-4</v>
      </c>
      <c r="L36" s="45">
        <f>(T36*$L$5)*(IF(B36&gt;=Age,$L$1*VLOOKUP('Q-Rates'!B36-Age+1,'Q-Rates'!$BC$8:$BD$128,2,0),1))</f>
        <v>2.6459999999999998E-4</v>
      </c>
      <c r="M36" s="45">
        <f>RI!Y14/1000</f>
        <v>9.8000000000000019E-4</v>
      </c>
      <c r="N36" s="45">
        <f>RI!Z14/1000</f>
        <v>7.3799999999999994E-4</v>
      </c>
      <c r="O36" s="45">
        <f>RI!AB14/1000</f>
        <v>1.7999999999999998E-4</v>
      </c>
      <c r="P36" s="45">
        <f>RI!AC14/1000</f>
        <v>1.4000000000000001E-4</v>
      </c>
      <c r="Q36" s="45">
        <f>RI!AE14/1000</f>
        <v>3.8640000000000001E-4</v>
      </c>
      <c r="R36" s="45">
        <f>RI!AF14/1000</f>
        <v>2.9040000000000007E-4</v>
      </c>
      <c r="S36" s="45">
        <f>RI!AH14/1000</f>
        <v>2.176E-4</v>
      </c>
      <c r="T36" s="45">
        <f>RI!AI14/1000</f>
        <v>2.352E-4</v>
      </c>
      <c r="U36" s="45"/>
      <c r="V36" s="45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7">
        <v>0</v>
      </c>
      <c r="AO36" s="20">
        <f t="shared" si="10"/>
        <v>29</v>
      </c>
      <c r="AP36" s="48">
        <v>0</v>
      </c>
      <c r="AQ36" s="49">
        <v>0.1</v>
      </c>
      <c r="AR36" s="49">
        <f>IF($AO36&gt;[1]Basic!$D$29,0,VLOOKUP(MIN($AO36,6),[1]Specs!$Q$5:$R$11,2,0))</f>
        <v>0</v>
      </c>
      <c r="AS36" s="49">
        <v>0.08</v>
      </c>
      <c r="AT36" s="50">
        <f t="shared" si="2"/>
        <v>0</v>
      </c>
      <c r="AV36" s="20">
        <f t="shared" si="11"/>
        <v>29</v>
      </c>
      <c r="AW36" s="51">
        <f t="shared" si="3"/>
        <v>0</v>
      </c>
      <c r="AX36" s="23">
        <f t="shared" si="4"/>
        <v>0.1</v>
      </c>
      <c r="AY36" s="23">
        <f t="shared" si="5"/>
        <v>0</v>
      </c>
      <c r="AZ36" s="23">
        <f t="shared" si="6"/>
        <v>0.08</v>
      </c>
      <c r="BA36" s="52">
        <f t="shared" si="7"/>
        <v>0</v>
      </c>
      <c r="BC36" s="20">
        <f t="shared" si="12"/>
        <v>29</v>
      </c>
      <c r="BD36" s="51">
        <f t="shared" si="13"/>
        <v>0.99999999999999989</v>
      </c>
      <c r="BE36" s="52"/>
    </row>
    <row r="37" spans="2:57" x14ac:dyDescent="0.2">
      <c r="B37" s="20">
        <f t="shared" si="8"/>
        <v>29</v>
      </c>
      <c r="C37" s="44">
        <v>1.72E-3</v>
      </c>
      <c r="D37" s="45">
        <v>1.32E-3</v>
      </c>
      <c r="E37" s="45">
        <v>1.2999999999999999E-3</v>
      </c>
      <c r="F37" s="45">
        <v>9.7799999999999992E-4</v>
      </c>
      <c r="G37" s="45">
        <f>(M37*($G$4+$H$2)+$G$5*O37)*(IF(B37&gt;=Age,$G$1*VLOOKUP('Q-Rates'!B37-Age+1,'Q-Rates'!$BC$8:$BD$128,2,0),1))</f>
        <v>1.1123999999999999E-3</v>
      </c>
      <c r="H37" s="45">
        <f>(N37*($H$4+$H$2)+$H$5*P37)*(IF(B37&gt;=Age,$G$1*VLOOKUP('Q-Rates'!B37-Age+1,'Q-Rates'!$BC$8:$BD$128,2,0),1))</f>
        <v>8.4120000000000006E-4</v>
      </c>
      <c r="I37" s="45">
        <f t="shared" si="14"/>
        <v>3.8640000000000001E-4</v>
      </c>
      <c r="J37" s="45">
        <f t="shared" si="9"/>
        <v>2.9040000000000007E-4</v>
      </c>
      <c r="K37" s="45">
        <f>(S37*$K$5)*(IF(B37&gt;=Age,$K$1*VLOOKUP('Q-Rates'!B37-Age+1,'Q-Rates'!$BC$8:$BD$128,2,0),1))</f>
        <v>2.7180000000000005E-4</v>
      </c>
      <c r="L37" s="45">
        <f>(T37*$L$5)*(IF(B37&gt;=Age,$L$1*VLOOKUP('Q-Rates'!B37-Age+1,'Q-Rates'!$BC$8:$BD$128,2,0),1))</f>
        <v>2.9160000000000009E-4</v>
      </c>
      <c r="M37" s="45">
        <f>RI!Y15/1000</f>
        <v>9.9599999999999992E-4</v>
      </c>
      <c r="N37" s="45">
        <f>RI!Z15/1000</f>
        <v>7.4799999999999997E-4</v>
      </c>
      <c r="O37" s="45">
        <f>RI!AB15/1000</f>
        <v>1.7999999999999998E-4</v>
      </c>
      <c r="P37" s="45">
        <f>RI!AC15/1000</f>
        <v>1.4000000000000001E-4</v>
      </c>
      <c r="Q37" s="45">
        <f>RI!AE15/1000</f>
        <v>3.8640000000000001E-4</v>
      </c>
      <c r="R37" s="45">
        <f>RI!AF15/1000</f>
        <v>2.9040000000000007E-4</v>
      </c>
      <c r="S37" s="45">
        <f>RI!AH15/1000</f>
        <v>2.4160000000000004E-4</v>
      </c>
      <c r="T37" s="45">
        <f>RI!AI15/1000</f>
        <v>2.5920000000000007E-4</v>
      </c>
      <c r="U37" s="45"/>
      <c r="V37" s="45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7">
        <v>0</v>
      </c>
      <c r="AO37" s="20">
        <f t="shared" si="10"/>
        <v>30</v>
      </c>
      <c r="AP37" s="48">
        <v>0</v>
      </c>
      <c r="AQ37" s="49">
        <v>0.1</v>
      </c>
      <c r="AR37" s="49">
        <f>IF($AO37&gt;[1]Basic!$D$29,0,VLOOKUP(MIN($AO37,6),[1]Specs!$Q$5:$R$11,2,0))</f>
        <v>0</v>
      </c>
      <c r="AS37" s="49">
        <v>0.08</v>
      </c>
      <c r="AT37" s="50">
        <f t="shared" si="2"/>
        <v>0</v>
      </c>
      <c r="AV37" s="20">
        <f t="shared" si="11"/>
        <v>30</v>
      </c>
      <c r="AW37" s="51">
        <f t="shared" si="3"/>
        <v>0</v>
      </c>
      <c r="AX37" s="23">
        <f t="shared" si="4"/>
        <v>0.1</v>
      </c>
      <c r="AY37" s="23">
        <f t="shared" si="5"/>
        <v>0</v>
      </c>
      <c r="AZ37" s="23">
        <f t="shared" si="6"/>
        <v>0.08</v>
      </c>
      <c r="BA37" s="52">
        <f t="shared" si="7"/>
        <v>0</v>
      </c>
      <c r="BC37" s="20">
        <f t="shared" si="12"/>
        <v>30</v>
      </c>
      <c r="BD37" s="51">
        <f t="shared" si="13"/>
        <v>0.99999999999999989</v>
      </c>
      <c r="BE37" s="52"/>
    </row>
    <row r="38" spans="2:57" x14ac:dyDescent="0.2">
      <c r="B38" s="20">
        <f t="shared" si="8"/>
        <v>30</v>
      </c>
      <c r="C38" s="44">
        <v>1.75E-3</v>
      </c>
      <c r="D38" s="45">
        <v>1.3699999999999999E-3</v>
      </c>
      <c r="E38" s="45">
        <v>1.3820000000000002E-3</v>
      </c>
      <c r="F38" s="45">
        <v>1.008E-3</v>
      </c>
      <c r="G38" s="45">
        <f>(M38*($G$4+$H$2)+$G$5*O38)*(IF(B38&gt;=Age,$G$1*VLOOKUP('Q-Rates'!B38-Age+1,'Q-Rates'!$BC$8:$BD$128,2,0),1))</f>
        <v>1.1483999999999999E-3</v>
      </c>
      <c r="H38" s="45">
        <f>(N38*($H$4+$H$2)+$H$5*P38)*(IF(B38&gt;=Age,$G$1*VLOOKUP('Q-Rates'!B38-Age+1,'Q-Rates'!$BC$8:$BD$128,2,0),1))</f>
        <v>8.736000000000002E-4</v>
      </c>
      <c r="I38" s="45">
        <f t="shared" si="14"/>
        <v>3.9240000000000005E-4</v>
      </c>
      <c r="J38" s="45">
        <f t="shared" si="9"/>
        <v>2.9040000000000007E-4</v>
      </c>
      <c r="K38" s="45">
        <f>(S38*$K$5)*(IF(B38&gt;=Age,$K$1*VLOOKUP('Q-Rates'!B38-Age+1,'Q-Rates'!$BC$8:$BD$128,2,0),1))</f>
        <v>2.988E-4</v>
      </c>
      <c r="L38" s="45">
        <f>(T38*$L$5)*(IF(B38&gt;=Age,$L$1*VLOOKUP('Q-Rates'!B38-Age+1,'Q-Rates'!$BC$8:$BD$128,2,0),1))</f>
        <v>3.1319999999999997E-4</v>
      </c>
      <c r="M38" s="45">
        <f>RI!Y16/1000</f>
        <v>1.036E-3</v>
      </c>
      <c r="N38" s="45">
        <f>RI!Z16/1000</f>
        <v>7.8400000000000008E-4</v>
      </c>
      <c r="O38" s="45">
        <f>RI!AB16/1000</f>
        <v>1.7999999999999998E-4</v>
      </c>
      <c r="P38" s="45">
        <f>RI!AC16/1000</f>
        <v>1.4000000000000001E-4</v>
      </c>
      <c r="Q38" s="45">
        <f>RI!AE16/1000</f>
        <v>3.9240000000000005E-4</v>
      </c>
      <c r="R38" s="45">
        <f>RI!AF16/1000</f>
        <v>2.9040000000000007E-4</v>
      </c>
      <c r="S38" s="45">
        <f>RI!AH16/1000</f>
        <v>2.656E-4</v>
      </c>
      <c r="T38" s="45">
        <f>RI!AI16/1000</f>
        <v>2.7839999999999999E-4</v>
      </c>
      <c r="U38" s="45"/>
      <c r="V38" s="45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7">
        <v>0</v>
      </c>
      <c r="AO38" s="20">
        <f t="shared" si="10"/>
        <v>31</v>
      </c>
      <c r="AP38" s="48">
        <v>0</v>
      </c>
      <c r="AQ38" s="49">
        <v>0.1</v>
      </c>
      <c r="AR38" s="49">
        <f>IF($AO38&gt;[1]Basic!$D$29,0,VLOOKUP(MIN($AO38,6),[1]Specs!$Q$5:$R$11,2,0))</f>
        <v>0</v>
      </c>
      <c r="AS38" s="49">
        <v>0.08</v>
      </c>
      <c r="AT38" s="50">
        <f t="shared" si="2"/>
        <v>0</v>
      </c>
      <c r="AV38" s="20">
        <f t="shared" si="11"/>
        <v>31</v>
      </c>
      <c r="AW38" s="51">
        <f t="shared" si="3"/>
        <v>0</v>
      </c>
      <c r="AX38" s="23">
        <f t="shared" si="4"/>
        <v>0.1</v>
      </c>
      <c r="AY38" s="23">
        <f t="shared" si="5"/>
        <v>0</v>
      </c>
      <c r="AZ38" s="23">
        <f t="shared" si="6"/>
        <v>0.08</v>
      </c>
      <c r="BA38" s="52">
        <f t="shared" si="7"/>
        <v>0</v>
      </c>
      <c r="BC38" s="20">
        <f t="shared" si="12"/>
        <v>31</v>
      </c>
      <c r="BD38" s="51">
        <f t="shared" si="13"/>
        <v>0.99999999999999989</v>
      </c>
      <c r="BE38" s="52"/>
    </row>
    <row r="39" spans="2:57" x14ac:dyDescent="0.2">
      <c r="B39" s="20">
        <f t="shared" si="8"/>
        <v>31</v>
      </c>
      <c r="C39" s="44">
        <v>1.8E-3</v>
      </c>
      <c r="D39" s="45">
        <v>1.42E-3</v>
      </c>
      <c r="E39" s="45">
        <v>1.4599999999999999E-3</v>
      </c>
      <c r="F39" s="45">
        <v>1.042E-3</v>
      </c>
      <c r="G39" s="45">
        <f>(M39*($G$4+$H$2)+$G$5*O39)*(IF(B39&gt;=Age,$G$1*VLOOKUP('Q-Rates'!B39-Age+1,'Q-Rates'!$BC$8:$BD$128,2,0),1))</f>
        <v>1.2096000000000001E-3</v>
      </c>
      <c r="H39" s="45">
        <f>(N39*($H$4+$H$2)+$H$5*P39)*(IF(B39&gt;=Age,$G$1*VLOOKUP('Q-Rates'!B39-Age+1,'Q-Rates'!$BC$8:$BD$128,2,0),1))</f>
        <v>9.1320000000000008E-4</v>
      </c>
      <c r="I39" s="45">
        <f t="shared" si="14"/>
        <v>3.9240000000000005E-4</v>
      </c>
      <c r="J39" s="45">
        <f t="shared" si="9"/>
        <v>3.0239999999999998E-4</v>
      </c>
      <c r="K39" s="45">
        <f>(S39*$K$5)*(IF(B39&gt;=Age,$K$1*VLOOKUP('Q-Rates'!B39-Age+1,'Q-Rates'!$BC$8:$BD$128,2,0),1))</f>
        <v>3.2940000000000004E-4</v>
      </c>
      <c r="L39" s="45">
        <f>(T39*$L$5)*(IF(B39&gt;=Age,$L$1*VLOOKUP('Q-Rates'!B39-Age+1,'Q-Rates'!$BC$8:$BD$128,2,0),1))</f>
        <v>3.4019999999999998E-4</v>
      </c>
      <c r="M39" s="45">
        <f>RI!Y17/1000</f>
        <v>1.0960000000000002E-3</v>
      </c>
      <c r="N39" s="45">
        <f>RI!Z17/1000</f>
        <v>8.2000000000000009E-4</v>
      </c>
      <c r="O39" s="45">
        <f>RI!AB17/1000</f>
        <v>1.8599999999999999E-4</v>
      </c>
      <c r="P39" s="45">
        <f>RI!AC17/1000</f>
        <v>1.4600000000000003E-4</v>
      </c>
      <c r="Q39" s="45">
        <f>RI!AE17/1000</f>
        <v>3.9240000000000005E-4</v>
      </c>
      <c r="R39" s="45">
        <f>RI!AF17/1000</f>
        <v>3.0239999999999998E-4</v>
      </c>
      <c r="S39" s="45">
        <f>RI!AH17/1000</f>
        <v>2.9280000000000002E-4</v>
      </c>
      <c r="T39" s="45">
        <f>RI!AI17/1000</f>
        <v>3.0239999999999998E-4</v>
      </c>
      <c r="U39" s="45"/>
      <c r="V39" s="45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7">
        <v>0</v>
      </c>
      <c r="AO39" s="20">
        <f t="shared" si="10"/>
        <v>32</v>
      </c>
      <c r="AP39" s="48">
        <v>0</v>
      </c>
      <c r="AQ39" s="49">
        <v>0.1</v>
      </c>
      <c r="AR39" s="49">
        <f>IF($AO39&gt;[1]Basic!$D$29,0,VLOOKUP(MIN($AO39,6),[1]Specs!$Q$5:$R$11,2,0))</f>
        <v>0</v>
      </c>
      <c r="AS39" s="49">
        <v>0.08</v>
      </c>
      <c r="AT39" s="50">
        <f t="shared" si="2"/>
        <v>0</v>
      </c>
      <c r="AV39" s="20">
        <f t="shared" si="11"/>
        <v>32</v>
      </c>
      <c r="AW39" s="51">
        <f t="shared" si="3"/>
        <v>0</v>
      </c>
      <c r="AX39" s="23">
        <f t="shared" si="4"/>
        <v>0.1</v>
      </c>
      <c r="AY39" s="23">
        <f t="shared" si="5"/>
        <v>0</v>
      </c>
      <c r="AZ39" s="23">
        <f t="shared" si="6"/>
        <v>0.08</v>
      </c>
      <c r="BA39" s="52">
        <f t="shared" si="7"/>
        <v>0</v>
      </c>
      <c r="BC39" s="20">
        <f t="shared" si="12"/>
        <v>32</v>
      </c>
      <c r="BD39" s="51">
        <f t="shared" si="13"/>
        <v>0.99999999999999989</v>
      </c>
      <c r="BE39" s="52"/>
    </row>
    <row r="40" spans="2:57" x14ac:dyDescent="0.2">
      <c r="B40" s="20">
        <f t="shared" si="8"/>
        <v>32</v>
      </c>
      <c r="C40" s="44">
        <v>1.8699999999999999E-3</v>
      </c>
      <c r="D40" s="45">
        <v>1.47E-3</v>
      </c>
      <c r="E40" s="45">
        <v>1.542E-3</v>
      </c>
      <c r="F40" s="45">
        <v>1.0840000000000001E-3</v>
      </c>
      <c r="G40" s="45">
        <f>(M40*($G$4+$H$2)+$G$5*O40)*(IF(B40&gt;=Age,$G$1*VLOOKUP('Q-Rates'!B40-Age+1,'Q-Rates'!$BC$8:$BD$128,2,0),1))</f>
        <v>1.2852E-3</v>
      </c>
      <c r="H40" s="45">
        <f>(N40*($H$4+$H$2)+$H$5*P40)*(IF(B40&gt;=Age,$G$1*VLOOKUP('Q-Rates'!B40-Age+1,'Q-Rates'!$BC$8:$BD$128,2,0),1))</f>
        <v>9.3480000000000017E-4</v>
      </c>
      <c r="I40" s="45">
        <f t="shared" si="14"/>
        <v>3.9240000000000005E-4</v>
      </c>
      <c r="J40" s="45">
        <f t="shared" si="9"/>
        <v>3.0239999999999998E-4</v>
      </c>
      <c r="K40" s="45">
        <f>(S40*$K$5)*(IF(B40&gt;=Age,$K$1*VLOOKUP('Q-Rates'!B40-Age+1,'Q-Rates'!$BC$8:$BD$128,2,0),1))</f>
        <v>3.6900000000000008E-4</v>
      </c>
      <c r="L40" s="45">
        <f>(T40*$L$5)*(IF(B40&gt;=Age,$L$1*VLOOKUP('Q-Rates'!B40-Age+1,'Q-Rates'!$BC$8:$BD$128,2,0),1))</f>
        <v>3.6720000000000004E-4</v>
      </c>
      <c r="M40" s="45">
        <f>RI!Y18/1000</f>
        <v>1.1720000000000001E-3</v>
      </c>
      <c r="N40" s="45">
        <f>RI!Z18/1000</f>
        <v>8.4400000000000013E-4</v>
      </c>
      <c r="O40" s="45">
        <f>RI!AB18/1000</f>
        <v>1.92E-4</v>
      </c>
      <c r="P40" s="45">
        <f>RI!AC18/1000</f>
        <v>1.4600000000000003E-4</v>
      </c>
      <c r="Q40" s="45">
        <f>RI!AE18/1000</f>
        <v>3.9240000000000005E-4</v>
      </c>
      <c r="R40" s="45">
        <f>RI!AF18/1000</f>
        <v>3.0239999999999998E-4</v>
      </c>
      <c r="S40" s="45">
        <f>RI!AH18/1000</f>
        <v>3.2800000000000006E-4</v>
      </c>
      <c r="T40" s="45">
        <f>RI!AI18/1000</f>
        <v>3.2640000000000002E-4</v>
      </c>
      <c r="U40" s="45"/>
      <c r="V40" s="45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7">
        <v>0</v>
      </c>
      <c r="AO40" s="20">
        <f t="shared" si="10"/>
        <v>33</v>
      </c>
      <c r="AP40" s="48">
        <v>0</v>
      </c>
      <c r="AQ40" s="49">
        <v>0.1</v>
      </c>
      <c r="AR40" s="49">
        <f>IF($AO40&gt;[1]Basic!$D$29,0,VLOOKUP(MIN($AO40,6),[1]Specs!$Q$5:$R$11,2,0))</f>
        <v>0</v>
      </c>
      <c r="AS40" s="49">
        <v>0.08</v>
      </c>
      <c r="AT40" s="50">
        <f t="shared" si="2"/>
        <v>0</v>
      </c>
      <c r="AV40" s="20">
        <f t="shared" si="11"/>
        <v>33</v>
      </c>
      <c r="AW40" s="51">
        <f t="shared" ref="AW40:AW71" si="15">AP40*Lapse_Sens</f>
        <v>0</v>
      </c>
      <c r="AX40" s="23">
        <f t="shared" ref="AX40:AX71" si="16">AQ40*Lapse_Sens</f>
        <v>0.1</v>
      </c>
      <c r="AY40" s="23">
        <f t="shared" ref="AY40:AY71" si="17">AR40*Lapse_Sens</f>
        <v>0</v>
      </c>
      <c r="AZ40" s="23">
        <f t="shared" ref="AZ40:AZ71" si="18">AS40*Lapse_Sens</f>
        <v>0.08</v>
      </c>
      <c r="BA40" s="52">
        <f t="shared" ref="BA40:BA71" si="19">AT40*Lapse_Sens</f>
        <v>0</v>
      </c>
      <c r="BC40" s="20">
        <f t="shared" si="12"/>
        <v>33</v>
      </c>
      <c r="BD40" s="51">
        <f t="shared" si="13"/>
        <v>0.99999999999999989</v>
      </c>
      <c r="BE40" s="52"/>
    </row>
    <row r="41" spans="2:57" x14ac:dyDescent="0.2">
      <c r="B41" s="20">
        <f t="shared" si="8"/>
        <v>33</v>
      </c>
      <c r="C41" s="44">
        <v>1.9499999999999999E-3</v>
      </c>
      <c r="D41" s="45">
        <v>1.5399999999999999E-3</v>
      </c>
      <c r="E41" s="45">
        <v>1.6519999999999998E-3</v>
      </c>
      <c r="F41" s="45">
        <v>1.1360000000000001E-3</v>
      </c>
      <c r="G41" s="45">
        <f>(M41*($G$4+$H$2)+$G$5*O41)*(IF(B41&gt;=Age,$G$1*VLOOKUP('Q-Rates'!B41-Age+1,'Q-Rates'!$BC$8:$BD$128,2,0),1))</f>
        <v>1.3518E-3</v>
      </c>
      <c r="H41" s="45">
        <f>(N41*($H$4+$H$2)+$H$5*P41)*(IF(B41&gt;=Age,$G$1*VLOOKUP('Q-Rates'!B41-Age+1,'Q-Rates'!$BC$8:$BD$128,2,0),1))</f>
        <v>9.7080000000000018E-4</v>
      </c>
      <c r="I41" s="45">
        <f t="shared" si="14"/>
        <v>3.9840000000000003E-4</v>
      </c>
      <c r="J41" s="45">
        <f t="shared" si="9"/>
        <v>3.0239999999999998E-4</v>
      </c>
      <c r="K41" s="45">
        <f>(S41*$K$5)*(IF(B41&gt;=Age,$K$1*VLOOKUP('Q-Rates'!B41-Age+1,'Q-Rates'!$BC$8:$BD$128,2,0),1))</f>
        <v>4.0860000000000007E-4</v>
      </c>
      <c r="L41" s="45">
        <f>(T41*$L$5)*(IF(B41&gt;=Age,$L$1*VLOOKUP('Q-Rates'!B41-Age+1,'Q-Rates'!$BC$8:$BD$128,2,0),1))</f>
        <v>3.9420000000000004E-4</v>
      </c>
      <c r="M41" s="45">
        <f>RI!Y19/1000</f>
        <v>1.238E-3</v>
      </c>
      <c r="N41" s="45">
        <f>RI!Z19/1000</f>
        <v>8.8400000000000013E-4</v>
      </c>
      <c r="O41" s="45">
        <f>RI!AB19/1000</f>
        <v>1.9800000000000002E-4</v>
      </c>
      <c r="P41" s="45">
        <f>RI!AC19/1000</f>
        <v>1.4600000000000003E-4</v>
      </c>
      <c r="Q41" s="45">
        <f>RI!AE19/1000</f>
        <v>3.9840000000000003E-4</v>
      </c>
      <c r="R41" s="45">
        <f>RI!AF19/1000</f>
        <v>3.0239999999999998E-4</v>
      </c>
      <c r="S41" s="45">
        <f>RI!AH19/1000</f>
        <v>3.6320000000000005E-4</v>
      </c>
      <c r="T41" s="45">
        <f>RI!AI19/1000</f>
        <v>3.5040000000000006E-4</v>
      </c>
      <c r="U41" s="45"/>
      <c r="V41" s="45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7">
        <v>0</v>
      </c>
      <c r="AO41" s="20">
        <f t="shared" si="10"/>
        <v>34</v>
      </c>
      <c r="AP41" s="48">
        <v>0</v>
      </c>
      <c r="AQ41" s="49">
        <v>0.1</v>
      </c>
      <c r="AR41" s="49">
        <f>IF($AO41&gt;[1]Basic!$D$29,0,VLOOKUP(MIN($AO41,6),[1]Specs!$Q$5:$R$11,2,0))</f>
        <v>0</v>
      </c>
      <c r="AS41" s="49">
        <v>0.08</v>
      </c>
      <c r="AT41" s="50">
        <f t="shared" si="2"/>
        <v>0</v>
      </c>
      <c r="AV41" s="20">
        <f t="shared" si="11"/>
        <v>34</v>
      </c>
      <c r="AW41" s="51">
        <f t="shared" si="15"/>
        <v>0</v>
      </c>
      <c r="AX41" s="23">
        <f t="shared" si="16"/>
        <v>0.1</v>
      </c>
      <c r="AY41" s="23">
        <f t="shared" si="17"/>
        <v>0</v>
      </c>
      <c r="AZ41" s="23">
        <f t="shared" si="18"/>
        <v>0.08</v>
      </c>
      <c r="BA41" s="52">
        <f t="shared" si="19"/>
        <v>0</v>
      </c>
      <c r="BC41" s="20">
        <f t="shared" si="12"/>
        <v>34</v>
      </c>
      <c r="BD41" s="51">
        <f t="shared" si="13"/>
        <v>0.99999999999999989</v>
      </c>
      <c r="BE41" s="52"/>
    </row>
    <row r="42" spans="2:57" x14ac:dyDescent="0.2">
      <c r="B42" s="20">
        <f t="shared" si="8"/>
        <v>34</v>
      </c>
      <c r="C42" s="44">
        <v>2.0500000000000002E-3</v>
      </c>
      <c r="D42" s="45">
        <v>1.6100000000000001E-3</v>
      </c>
      <c r="E42" s="45">
        <v>1.766E-3</v>
      </c>
      <c r="F42" s="45">
        <v>1.1899999999999999E-3</v>
      </c>
      <c r="G42" s="45">
        <f>(M42*($G$4+$H$2)+$G$5*O42)*(IF(B42&gt;=Age,$G$1*VLOOKUP('Q-Rates'!B42-Age+1,'Q-Rates'!$BC$8:$BD$128,2,0),1))</f>
        <v>1.4112E-3</v>
      </c>
      <c r="H42" s="45">
        <f>(N42*($H$4+$H$2)+$H$5*P42)*(IF(B42&gt;=Age,$G$1*VLOOKUP('Q-Rates'!B42-Age+1,'Q-Rates'!$BC$8:$BD$128,2,0),1))</f>
        <v>9.9240000000000005E-4</v>
      </c>
      <c r="I42" s="45">
        <f t="shared" si="14"/>
        <v>3.9840000000000003E-4</v>
      </c>
      <c r="J42" s="45">
        <f t="shared" si="9"/>
        <v>3.0239999999999998E-4</v>
      </c>
      <c r="K42" s="45">
        <f>(S42*$K$5)*(IF(B42&gt;=Age,$K$1*VLOOKUP('Q-Rates'!B42-Age+1,'Q-Rates'!$BC$8:$BD$128,2,0),1))</f>
        <v>4.5359999999999997E-4</v>
      </c>
      <c r="L42" s="45">
        <f>(T42*$L$5)*(IF(B42&gt;=Age,$L$1*VLOOKUP('Q-Rates'!B42-Age+1,'Q-Rates'!$BC$8:$BD$128,2,0),1))</f>
        <v>4.2480000000000008E-4</v>
      </c>
      <c r="M42" s="45">
        <f>RI!Y20/1000</f>
        <v>1.2959999999999998E-3</v>
      </c>
      <c r="N42" s="45">
        <f>RI!Z20/1000</f>
        <v>9.0799999999999995E-4</v>
      </c>
      <c r="O42" s="45">
        <f>RI!AB20/1000</f>
        <v>2.0400000000000003E-4</v>
      </c>
      <c r="P42" s="45">
        <f>RI!AC20/1000</f>
        <v>1.4600000000000003E-4</v>
      </c>
      <c r="Q42" s="45">
        <f>RI!AE20/1000</f>
        <v>3.9840000000000003E-4</v>
      </c>
      <c r="R42" s="45">
        <f>RI!AF20/1000</f>
        <v>3.0239999999999998E-4</v>
      </c>
      <c r="S42" s="45">
        <f>RI!AH20/1000</f>
        <v>4.0319999999999999E-4</v>
      </c>
      <c r="T42" s="45">
        <f>RI!AI20/1000</f>
        <v>3.7760000000000007E-4</v>
      </c>
      <c r="U42" s="45"/>
      <c r="V42" s="45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7">
        <v>0</v>
      </c>
      <c r="AO42" s="20">
        <f t="shared" si="10"/>
        <v>35</v>
      </c>
      <c r="AP42" s="48">
        <v>0</v>
      </c>
      <c r="AQ42" s="49">
        <v>0.1</v>
      </c>
      <c r="AR42" s="49">
        <f>IF($AO42&gt;[1]Basic!$D$29,0,VLOOKUP(MIN($AO42,6),[1]Specs!$Q$5:$R$11,2,0))</f>
        <v>0</v>
      </c>
      <c r="AS42" s="49">
        <v>0.08</v>
      </c>
      <c r="AT42" s="50">
        <f t="shared" si="2"/>
        <v>0</v>
      </c>
      <c r="AV42" s="20">
        <f t="shared" si="11"/>
        <v>35</v>
      </c>
      <c r="AW42" s="51">
        <f t="shared" si="15"/>
        <v>0</v>
      </c>
      <c r="AX42" s="23">
        <f t="shared" si="16"/>
        <v>0.1</v>
      </c>
      <c r="AY42" s="23">
        <f t="shared" si="17"/>
        <v>0</v>
      </c>
      <c r="AZ42" s="23">
        <f t="shared" si="18"/>
        <v>0.08</v>
      </c>
      <c r="BA42" s="52">
        <f t="shared" si="19"/>
        <v>0</v>
      </c>
      <c r="BC42" s="20">
        <f t="shared" si="12"/>
        <v>35</v>
      </c>
      <c r="BD42" s="51">
        <f t="shared" si="13"/>
        <v>0.99999999999999989</v>
      </c>
      <c r="BE42" s="52"/>
    </row>
    <row r="43" spans="2:57" x14ac:dyDescent="0.2">
      <c r="B43" s="20">
        <f t="shared" si="8"/>
        <v>35</v>
      </c>
      <c r="C43" s="44">
        <v>2.1700000000000001E-3</v>
      </c>
      <c r="D43" s="45">
        <v>1.6999999999999999E-3</v>
      </c>
      <c r="E43" s="45">
        <v>1.8980000000000002E-3</v>
      </c>
      <c r="F43" s="45">
        <v>1.25E-3</v>
      </c>
      <c r="G43" s="45">
        <f>(M43*($G$4+$H$2)+$G$5*O43)*(IF(B43&gt;=Age,$G$1*VLOOKUP('Q-Rates'!B43-Age+1,'Q-Rates'!$BC$8:$BD$128,2,0),1))</f>
        <v>7.5600000000000016E-4</v>
      </c>
      <c r="H43" s="45">
        <f>(N43*($H$4+$H$2)+$H$5*P43)*(IF(B43&gt;=Age,$G$1*VLOOKUP('Q-Rates'!B43-Age+1,'Q-Rates'!$BC$8:$BD$128,2,0),1))</f>
        <v>5.1780000000000001E-4</v>
      </c>
      <c r="I43" s="45">
        <f t="shared" si="14"/>
        <v>4.1040000000000006E-4</v>
      </c>
      <c r="J43" s="45">
        <f t="shared" si="9"/>
        <v>3.0239999999999998E-4</v>
      </c>
      <c r="K43" s="45">
        <f>(S43*$K$5)*(IF(B43&gt;=Age,$K$1*VLOOKUP('Q-Rates'!B43-Age+1,'Q-Rates'!$BC$8:$BD$128,2,0),1))</f>
        <v>2.5560000000000003E-4</v>
      </c>
      <c r="L43" s="45">
        <f>(T43*$L$5)*(IF(B43&gt;=Age,$L$1*VLOOKUP('Q-Rates'!B43-Age+1,'Q-Rates'!$BC$8:$BD$128,2,0),1))</f>
        <v>2.3220000000000003E-4</v>
      </c>
      <c r="M43" s="45">
        <f>RI!Y21/1000</f>
        <v>1.4000000000000002E-3</v>
      </c>
      <c r="N43" s="45">
        <f>RI!Z21/1000</f>
        <v>9.5599999999999993E-4</v>
      </c>
      <c r="O43" s="45">
        <f>RI!AB21/1000</f>
        <v>2.0999999999999998E-4</v>
      </c>
      <c r="P43" s="45">
        <f>RI!AC21/1000</f>
        <v>1.4600000000000003E-4</v>
      </c>
      <c r="Q43" s="45">
        <f>RI!AE21/1000</f>
        <v>4.1040000000000006E-4</v>
      </c>
      <c r="R43" s="45">
        <f>RI!AF21/1000</f>
        <v>3.0239999999999998E-4</v>
      </c>
      <c r="S43" s="45">
        <f>RI!AH21/1000</f>
        <v>4.5440000000000009E-4</v>
      </c>
      <c r="T43" s="45">
        <f>RI!AI21/1000</f>
        <v>4.1280000000000006E-4</v>
      </c>
      <c r="U43" s="45"/>
      <c r="V43" s="45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7">
        <v>0</v>
      </c>
      <c r="AO43" s="20">
        <f t="shared" si="10"/>
        <v>36</v>
      </c>
      <c r="AP43" s="48">
        <v>0</v>
      </c>
      <c r="AQ43" s="49">
        <v>0.1</v>
      </c>
      <c r="AR43" s="49">
        <f>IF($AO43&gt;[1]Basic!$D$29,0,VLOOKUP(MIN($AO43,6),[1]Specs!$Q$5:$R$11,2,0))</f>
        <v>0</v>
      </c>
      <c r="AS43" s="49">
        <v>0.08</v>
      </c>
      <c r="AT43" s="50">
        <f t="shared" si="2"/>
        <v>0</v>
      </c>
      <c r="AV43" s="20">
        <f t="shared" si="11"/>
        <v>36</v>
      </c>
      <c r="AW43" s="51">
        <f t="shared" si="15"/>
        <v>0</v>
      </c>
      <c r="AX43" s="23">
        <f t="shared" si="16"/>
        <v>0.1</v>
      </c>
      <c r="AY43" s="23">
        <f t="shared" si="17"/>
        <v>0</v>
      </c>
      <c r="AZ43" s="23">
        <f t="shared" si="18"/>
        <v>0.08</v>
      </c>
      <c r="BA43" s="52">
        <f t="shared" si="19"/>
        <v>0</v>
      </c>
      <c r="BC43" s="20">
        <f t="shared" si="12"/>
        <v>36</v>
      </c>
      <c r="BD43" s="51">
        <f t="shared" si="13"/>
        <v>0.99999999999999989</v>
      </c>
      <c r="BE43" s="52"/>
    </row>
    <row r="44" spans="2:57" x14ac:dyDescent="0.2">
      <c r="B44" s="20">
        <f t="shared" si="8"/>
        <v>36</v>
      </c>
      <c r="C44" s="44">
        <v>2.32E-3</v>
      </c>
      <c r="D44" s="45">
        <v>1.82E-3</v>
      </c>
      <c r="E44" s="45">
        <v>2.0179999999999998E-3</v>
      </c>
      <c r="F44" s="45">
        <v>1.3060000000000001E-3</v>
      </c>
      <c r="G44" s="45">
        <f>(M44*($G$4+$H$2)+$G$5*O44)*(IF(B44&gt;=Age,$G$1*VLOOKUP('Q-Rates'!B44-Age+1,'Q-Rates'!$BC$8:$BD$128,2,0),1))</f>
        <v>9.6444E-4</v>
      </c>
      <c r="H44" s="45">
        <f>(N44*($H$4+$H$2)+$H$5*P44)*(IF(B44&gt;=Age,$G$1*VLOOKUP('Q-Rates'!B44-Age+1,'Q-Rates'!$BC$8:$BD$128,2,0),1))</f>
        <v>6.5484000000000007E-4</v>
      </c>
      <c r="I44" s="45">
        <f t="shared" si="14"/>
        <v>4.1639999999999998E-4</v>
      </c>
      <c r="J44" s="45">
        <f t="shared" si="9"/>
        <v>3.0239999999999998E-4</v>
      </c>
      <c r="K44" s="45">
        <f>(S44*$K$5)*(IF(B44&gt;=Age,$K$1*VLOOKUP('Q-Rates'!B44-Age+1,'Q-Rates'!$BC$8:$BD$128,2,0),1))</f>
        <v>3.3804000000000001E-4</v>
      </c>
      <c r="L44" s="45">
        <f>(T44*$L$5)*(IF(B44&gt;=Age,$L$1*VLOOKUP('Q-Rates'!B44-Age+1,'Q-Rates'!$BC$8:$BD$128,2,0),1))</f>
        <v>3.1104E-4</v>
      </c>
      <c r="M44" s="45">
        <f>RI!Y22/1000</f>
        <v>1.4980000000000002E-3</v>
      </c>
      <c r="N44" s="45">
        <f>RI!Z22/1000</f>
        <v>1.01E-3</v>
      </c>
      <c r="O44" s="45">
        <f>RI!AB22/1000</f>
        <v>2.1599999999999999E-4</v>
      </c>
      <c r="P44" s="45">
        <f>RI!AC22/1000</f>
        <v>1.5200000000000004E-4</v>
      </c>
      <c r="Q44" s="45">
        <f>RI!AE22/1000</f>
        <v>4.1639999999999998E-4</v>
      </c>
      <c r="R44" s="45">
        <f>RI!AF22/1000</f>
        <v>3.0239999999999998E-4</v>
      </c>
      <c r="S44" s="45">
        <f>RI!AH22/1000</f>
        <v>5.0080000000000003E-4</v>
      </c>
      <c r="T44" s="45">
        <f>RI!AI22/1000</f>
        <v>4.6079999999999998E-4</v>
      </c>
      <c r="U44" s="45"/>
      <c r="V44" s="45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7">
        <v>0</v>
      </c>
      <c r="AO44" s="20">
        <f t="shared" si="10"/>
        <v>37</v>
      </c>
      <c r="AP44" s="48">
        <v>0</v>
      </c>
      <c r="AQ44" s="49">
        <v>0.1</v>
      </c>
      <c r="AR44" s="49">
        <f>IF($AO44&gt;[1]Basic!$D$29,0,VLOOKUP(MIN($AO44,6),[1]Specs!$Q$5:$R$11,2,0))</f>
        <v>0</v>
      </c>
      <c r="AS44" s="49">
        <v>0.08</v>
      </c>
      <c r="AT44" s="50">
        <f t="shared" si="2"/>
        <v>0</v>
      </c>
      <c r="AV44" s="20">
        <f t="shared" si="11"/>
        <v>37</v>
      </c>
      <c r="AW44" s="51">
        <f t="shared" si="15"/>
        <v>0</v>
      </c>
      <c r="AX44" s="23">
        <f t="shared" si="16"/>
        <v>0.1</v>
      </c>
      <c r="AY44" s="23">
        <f t="shared" si="17"/>
        <v>0</v>
      </c>
      <c r="AZ44" s="23">
        <f t="shared" si="18"/>
        <v>0.08</v>
      </c>
      <c r="BA44" s="52">
        <f t="shared" si="19"/>
        <v>0</v>
      </c>
      <c r="BC44" s="20">
        <f t="shared" si="12"/>
        <v>37</v>
      </c>
      <c r="BD44" s="51">
        <f t="shared" si="13"/>
        <v>0.99999999999999989</v>
      </c>
      <c r="BE44" s="52"/>
    </row>
    <row r="45" spans="2:57" x14ac:dyDescent="0.2">
      <c r="B45" s="20">
        <f t="shared" si="8"/>
        <v>37</v>
      </c>
      <c r="C45" s="44">
        <v>2.49E-3</v>
      </c>
      <c r="D45" s="45">
        <v>1.9599999999999999E-3</v>
      </c>
      <c r="E45" s="45">
        <v>2.1379999999999997E-3</v>
      </c>
      <c r="F45" s="45">
        <v>1.3640000000000002E-3</v>
      </c>
      <c r="G45" s="45">
        <f>(M45*($G$4+$H$2)+$G$5*O45)*(IF(B45&gt;=Age,$G$1*VLOOKUP('Q-Rates'!B45-Age+1,'Q-Rates'!$BC$8:$BD$128,2,0),1))</f>
        <v>1.20918E-3</v>
      </c>
      <c r="H45" s="45">
        <f>(N45*($H$4+$H$2)+$H$5*P45)*(IF(B45&gt;=Age,$G$1*VLOOKUP('Q-Rates'!B45-Age+1,'Q-Rates'!$BC$8:$BD$128,2,0),1))</f>
        <v>8.0177999999999977E-4</v>
      </c>
      <c r="I45" s="45">
        <f t="shared" si="14"/>
        <v>4.284E-4</v>
      </c>
      <c r="J45" s="45">
        <f t="shared" si="9"/>
        <v>3.0840000000000002E-4</v>
      </c>
      <c r="K45" s="45">
        <f>(S45*$K$5)*(IF(B45&gt;=Age,$K$1*VLOOKUP('Q-Rates'!B45-Age+1,'Q-Rates'!$BC$8:$BD$128,2,0),1))</f>
        <v>4.4351999999999998E-4</v>
      </c>
      <c r="L45" s="45">
        <f>(T45*$L$5)*(IF(B45&gt;=Age,$L$1*VLOOKUP('Q-Rates'!B45-Age+1,'Q-Rates'!$BC$8:$BD$128,2,0),1))</f>
        <v>4.006800000000001E-4</v>
      </c>
      <c r="M45" s="45">
        <f>RI!Y23/1000</f>
        <v>1.6179999999999999E-3</v>
      </c>
      <c r="N45" s="45">
        <f>RI!Z23/1000</f>
        <v>1.0699999999999998E-3</v>
      </c>
      <c r="O45" s="45">
        <f>RI!AB23/1000</f>
        <v>2.2600000000000002E-4</v>
      </c>
      <c r="P45" s="45">
        <f>RI!AC23/1000</f>
        <v>1.5200000000000004E-4</v>
      </c>
      <c r="Q45" s="45">
        <f>RI!AE23/1000</f>
        <v>4.284E-4</v>
      </c>
      <c r="R45" s="45">
        <f>RI!AF23/1000</f>
        <v>3.0840000000000002E-4</v>
      </c>
      <c r="S45" s="45">
        <f>RI!AH23/1000</f>
        <v>5.6320000000000003E-4</v>
      </c>
      <c r="T45" s="45">
        <f>RI!AI23/1000</f>
        <v>5.0880000000000012E-4</v>
      </c>
      <c r="U45" s="45"/>
      <c r="V45" s="45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7">
        <v>0</v>
      </c>
      <c r="AO45" s="20">
        <f t="shared" si="10"/>
        <v>38</v>
      </c>
      <c r="AP45" s="48">
        <v>0</v>
      </c>
      <c r="AQ45" s="49">
        <v>0.1</v>
      </c>
      <c r="AR45" s="49">
        <f>IF($AO45&gt;[1]Basic!$D$29,0,VLOOKUP(MIN($AO45,6),[1]Specs!$Q$5:$R$11,2,0))</f>
        <v>0</v>
      </c>
      <c r="AS45" s="49">
        <v>0.08</v>
      </c>
      <c r="AT45" s="50">
        <f t="shared" si="2"/>
        <v>0</v>
      </c>
      <c r="AV45" s="20">
        <f t="shared" si="11"/>
        <v>38</v>
      </c>
      <c r="AW45" s="51">
        <f t="shared" si="15"/>
        <v>0</v>
      </c>
      <c r="AX45" s="23">
        <f t="shared" si="16"/>
        <v>0.1</v>
      </c>
      <c r="AY45" s="23">
        <f t="shared" si="17"/>
        <v>0</v>
      </c>
      <c r="AZ45" s="23">
        <f t="shared" si="18"/>
        <v>0.08</v>
      </c>
      <c r="BA45" s="52">
        <f t="shared" si="19"/>
        <v>0</v>
      </c>
      <c r="BC45" s="20">
        <f t="shared" si="12"/>
        <v>38</v>
      </c>
      <c r="BD45" s="51">
        <f t="shared" si="13"/>
        <v>0.99999999999999989</v>
      </c>
      <c r="BE45" s="52"/>
    </row>
    <row r="46" spans="2:57" x14ac:dyDescent="0.2">
      <c r="B46" s="20">
        <f t="shared" si="8"/>
        <v>38</v>
      </c>
      <c r="C46" s="44">
        <v>2.6800000000000001E-3</v>
      </c>
      <c r="D46" s="45">
        <v>2.1299999999999999E-3</v>
      </c>
      <c r="E46" s="45">
        <v>2.2620000000000001E-3</v>
      </c>
      <c r="F46" s="45">
        <v>1.456E-3</v>
      </c>
      <c r="G46" s="45">
        <f>(M46*($G$4+$H$2)+$G$5*O46)*(IF(B46&gt;=Age,$G$1*VLOOKUP('Q-Rates'!B46-Age+1,'Q-Rates'!$BC$8:$BD$128,2,0),1))</f>
        <v>1.4740799999999998E-3</v>
      </c>
      <c r="H46" s="45">
        <f>(N46*($H$4+$H$2)+$H$5*P46)*(IF(B46&gt;=Age,$G$1*VLOOKUP('Q-Rates'!B46-Age+1,'Q-Rates'!$BC$8:$BD$128,2,0),1))</f>
        <v>9.5808000000000015E-4</v>
      </c>
      <c r="I46" s="45">
        <f t="shared" si="14"/>
        <v>4.3439999999999999E-4</v>
      </c>
      <c r="J46" s="45">
        <f t="shared" si="9"/>
        <v>3.0840000000000002E-4</v>
      </c>
      <c r="K46" s="45">
        <f>(S46*$K$5)*(IF(B46&gt;=Age,$K$1*VLOOKUP('Q-Rates'!B46-Age+1,'Q-Rates'!$BC$8:$BD$128,2,0),1))</f>
        <v>5.6879999999999995E-4</v>
      </c>
      <c r="L46" s="45">
        <f>(T46*$L$5)*(IF(B46&gt;=Age,$L$1*VLOOKUP('Q-Rates'!B46-Age+1,'Q-Rates'!$BC$8:$BD$128,2,0),1))</f>
        <v>5.0255999999999999E-4</v>
      </c>
      <c r="M46" s="45">
        <f>RI!Y24/1000</f>
        <v>1.714E-3</v>
      </c>
      <c r="N46" s="45">
        <f>RI!Z24/1000</f>
        <v>1.1200000000000001E-3</v>
      </c>
      <c r="O46" s="45">
        <f>RI!AB24/1000</f>
        <v>2.5000000000000001E-4</v>
      </c>
      <c r="P46" s="45">
        <f>RI!AC24/1000</f>
        <v>1.5800000000000002E-4</v>
      </c>
      <c r="Q46" s="45">
        <f>RI!AE24/1000</f>
        <v>4.3439999999999999E-4</v>
      </c>
      <c r="R46" s="45">
        <f>RI!AF24/1000</f>
        <v>3.0840000000000002E-4</v>
      </c>
      <c r="S46" s="45">
        <f>RI!AH24/1000</f>
        <v>6.3200000000000007E-4</v>
      </c>
      <c r="T46" s="45">
        <f>RI!AI24/1000</f>
        <v>5.5840000000000002E-4</v>
      </c>
      <c r="U46" s="45"/>
      <c r="V46" s="45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7">
        <v>0</v>
      </c>
      <c r="AO46" s="20">
        <f t="shared" si="10"/>
        <v>39</v>
      </c>
      <c r="AP46" s="48">
        <v>0</v>
      </c>
      <c r="AQ46" s="49">
        <v>0.1</v>
      </c>
      <c r="AR46" s="49">
        <f>IF($AO46&gt;[1]Basic!$D$29,0,VLOOKUP(MIN($AO46,6),[1]Specs!$Q$5:$R$11,2,0))</f>
        <v>0</v>
      </c>
      <c r="AS46" s="49">
        <v>0.08</v>
      </c>
      <c r="AT46" s="50">
        <f t="shared" si="2"/>
        <v>0</v>
      </c>
      <c r="AV46" s="20">
        <f t="shared" si="11"/>
        <v>39</v>
      </c>
      <c r="AW46" s="51">
        <f t="shared" si="15"/>
        <v>0</v>
      </c>
      <c r="AX46" s="23">
        <f t="shared" si="16"/>
        <v>0.1</v>
      </c>
      <c r="AY46" s="23">
        <f t="shared" si="17"/>
        <v>0</v>
      </c>
      <c r="AZ46" s="23">
        <f t="shared" si="18"/>
        <v>0.08</v>
      </c>
      <c r="BA46" s="52">
        <f t="shared" si="19"/>
        <v>0</v>
      </c>
      <c r="BC46" s="20">
        <f t="shared" si="12"/>
        <v>39</v>
      </c>
      <c r="BD46" s="51">
        <f t="shared" si="13"/>
        <v>0.99999999999999989</v>
      </c>
      <c r="BE46" s="52"/>
    </row>
    <row r="47" spans="2:57" x14ac:dyDescent="0.2">
      <c r="B47" s="20">
        <f t="shared" si="8"/>
        <v>39</v>
      </c>
      <c r="C47" s="44">
        <v>2.8999999999999998E-3</v>
      </c>
      <c r="D47" s="45">
        <v>2.32E-3</v>
      </c>
      <c r="E47" s="45">
        <v>2.3860000000000001E-3</v>
      </c>
      <c r="F47" s="45">
        <v>1.56E-3</v>
      </c>
      <c r="G47" s="45">
        <f>(M47*($G$4+$H$2)+$G$5*O47)*(IF(B47&gt;=Age,$G$1*VLOOKUP('Q-Rates'!B47-Age+1,'Q-Rates'!$BC$8:$BD$128,2,0),1))</f>
        <v>1.7560799999999999E-3</v>
      </c>
      <c r="H47" s="45">
        <f>(N47*($H$4+$H$2)+$H$5*P47)*(IF(B47&gt;=Age,$G$1*VLOOKUP('Q-Rates'!B47-Age+1,'Q-Rates'!$BC$8:$BD$128,2,0),1))</f>
        <v>1.1350799999999999E-3</v>
      </c>
      <c r="I47" s="45">
        <f t="shared" si="14"/>
        <v>4.4640000000000001E-4</v>
      </c>
      <c r="J47" s="45">
        <f t="shared" si="9"/>
        <v>3.0840000000000002E-4</v>
      </c>
      <c r="K47" s="45">
        <f>(S47*$K$5)*(IF(B47&gt;=Age,$K$1*VLOOKUP('Q-Rates'!B47-Age+1,'Q-Rates'!$BC$8:$BD$128,2,0),1))</f>
        <v>7.2899999999999994E-4</v>
      </c>
      <c r="L47" s="45">
        <f>(T47*$L$5)*(IF(B47&gt;=Age,$L$1*VLOOKUP('Q-Rates'!B47-Age+1,'Q-Rates'!$BC$8:$BD$128,2,0),1))</f>
        <v>6.2208000000000001E-4</v>
      </c>
      <c r="M47" s="45">
        <f>RI!Y25/1000</f>
        <v>1.8160000000000001E-3</v>
      </c>
      <c r="N47" s="45">
        <f>RI!Z25/1000</f>
        <v>1.1720000000000001E-3</v>
      </c>
      <c r="O47" s="45">
        <f>RI!AB25/1000</f>
        <v>2.6400000000000002E-4</v>
      </c>
      <c r="P47" s="45">
        <f>RI!AC25/1000</f>
        <v>1.7200000000000001E-4</v>
      </c>
      <c r="Q47" s="45">
        <f>RI!AE25/1000</f>
        <v>4.4640000000000001E-4</v>
      </c>
      <c r="R47" s="45">
        <f>RI!AF25/1000</f>
        <v>3.0840000000000002E-4</v>
      </c>
      <c r="S47" s="45">
        <f>RI!AH25/1000</f>
        <v>7.2000000000000005E-4</v>
      </c>
      <c r="T47" s="45">
        <f>RI!AI25/1000</f>
        <v>6.1440000000000008E-4</v>
      </c>
      <c r="U47" s="45"/>
      <c r="V47" s="45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7">
        <v>0</v>
      </c>
      <c r="AO47" s="20">
        <f t="shared" si="10"/>
        <v>40</v>
      </c>
      <c r="AP47" s="48">
        <v>0</v>
      </c>
      <c r="AQ47" s="49">
        <v>0.1</v>
      </c>
      <c r="AR47" s="49">
        <f>IF($AO47&gt;[1]Basic!$D$29,0,VLOOKUP(MIN($AO47,6),[1]Specs!$Q$5:$R$11,2,0))</f>
        <v>0</v>
      </c>
      <c r="AS47" s="49">
        <v>0.08</v>
      </c>
      <c r="AT47" s="50">
        <f t="shared" si="2"/>
        <v>0</v>
      </c>
      <c r="AV47" s="20">
        <f t="shared" si="11"/>
        <v>40</v>
      </c>
      <c r="AW47" s="51">
        <f t="shared" si="15"/>
        <v>0</v>
      </c>
      <c r="AX47" s="23">
        <f t="shared" si="16"/>
        <v>0.1</v>
      </c>
      <c r="AY47" s="23">
        <f t="shared" si="17"/>
        <v>0</v>
      </c>
      <c r="AZ47" s="23">
        <f t="shared" si="18"/>
        <v>0.08</v>
      </c>
      <c r="BA47" s="52">
        <f t="shared" si="19"/>
        <v>0</v>
      </c>
      <c r="BC47" s="20">
        <f t="shared" si="12"/>
        <v>40</v>
      </c>
      <c r="BD47" s="51">
        <f t="shared" si="13"/>
        <v>0.99999999999999989</v>
      </c>
      <c r="BE47" s="52"/>
    </row>
    <row r="48" spans="2:57" x14ac:dyDescent="0.2">
      <c r="B48" s="20">
        <f t="shared" si="8"/>
        <v>40</v>
      </c>
      <c r="C48" s="44">
        <v>3.15E-3</v>
      </c>
      <c r="D48" s="45">
        <v>2.5300000000000001E-3</v>
      </c>
      <c r="E48" s="45">
        <v>2.4820000000000003E-3</v>
      </c>
      <c r="F48" s="45">
        <v>1.6720000000000001E-3</v>
      </c>
      <c r="G48" s="45">
        <f>(M48*($G$4+$H$2)+$G$5*O48)*(IF(B48&gt;=Age,$G$1*VLOOKUP('Q-Rates'!B48-Age+1,'Q-Rates'!$BC$8:$BD$128,2,0),1))</f>
        <v>2.0591999999999997E-3</v>
      </c>
      <c r="H48" s="45">
        <f>(N48*($H$4+$H$2)+$H$5*P48)*(IF(B48&gt;=Age,$G$1*VLOOKUP('Q-Rates'!B48-Age+1,'Q-Rates'!$BC$8:$BD$128,2,0),1))</f>
        <v>1.3583999999999996E-3</v>
      </c>
      <c r="I48" s="45">
        <f t="shared" si="14"/>
        <v>4.5840000000000003E-4</v>
      </c>
      <c r="J48" s="45">
        <f t="shared" si="9"/>
        <v>3.144E-4</v>
      </c>
      <c r="K48" s="45">
        <f>(S48*$K$5)*(IF(B48&gt;=Age,$K$1*VLOOKUP('Q-Rates'!B48-Age+1,'Q-Rates'!$BC$8:$BD$128,2,0),1))</f>
        <v>9.234E-4</v>
      </c>
      <c r="L48" s="45">
        <f>(T48*$L$5)*(IF(B48&gt;=Age,$L$1*VLOOKUP('Q-Rates'!B48-Age+1,'Q-Rates'!$BC$8:$BD$128,2,0),1))</f>
        <v>7.5779999999999999E-4</v>
      </c>
      <c r="M48" s="45">
        <f>RI!Y26/1000</f>
        <v>1.9119999999999999E-3</v>
      </c>
      <c r="N48" s="45">
        <f>RI!Z26/1000</f>
        <v>1.2639999999999999E-3</v>
      </c>
      <c r="O48" s="45">
        <f>RI!AB26/1000</f>
        <v>2.8200000000000002E-4</v>
      </c>
      <c r="P48" s="45">
        <f>RI!AC26/1000</f>
        <v>1.84E-4</v>
      </c>
      <c r="Q48" s="45">
        <f>RI!AE26/1000</f>
        <v>4.5840000000000003E-4</v>
      </c>
      <c r="R48" s="45">
        <f>RI!AF26/1000</f>
        <v>3.144E-4</v>
      </c>
      <c r="S48" s="45">
        <f>RI!AH26/1000</f>
        <v>8.2080000000000011E-4</v>
      </c>
      <c r="T48" s="45">
        <f>RI!AI26/1000</f>
        <v>6.7360000000000011E-4</v>
      </c>
      <c r="U48" s="45"/>
      <c r="V48" s="45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7">
        <v>0</v>
      </c>
      <c r="AO48" s="20">
        <f t="shared" si="10"/>
        <v>41</v>
      </c>
      <c r="AP48" s="48">
        <v>0</v>
      </c>
      <c r="AQ48" s="49">
        <v>0.1</v>
      </c>
      <c r="AR48" s="49">
        <f>IF($AO48&gt;[1]Basic!$D$29,0,VLOOKUP(MIN($AO48,6),[1]Specs!$Q$5:$R$11,2,0))</f>
        <v>0</v>
      </c>
      <c r="AS48" s="49">
        <v>0.08</v>
      </c>
      <c r="AT48" s="50">
        <f t="shared" si="2"/>
        <v>0</v>
      </c>
      <c r="AV48" s="20">
        <f t="shared" si="11"/>
        <v>41</v>
      </c>
      <c r="AW48" s="51">
        <f t="shared" si="15"/>
        <v>0</v>
      </c>
      <c r="AX48" s="23">
        <f t="shared" si="16"/>
        <v>0.1</v>
      </c>
      <c r="AY48" s="23">
        <f t="shared" si="17"/>
        <v>0</v>
      </c>
      <c r="AZ48" s="23">
        <f t="shared" si="18"/>
        <v>0.08</v>
      </c>
      <c r="BA48" s="52">
        <f t="shared" si="19"/>
        <v>0</v>
      </c>
      <c r="BC48" s="20">
        <f t="shared" si="12"/>
        <v>41</v>
      </c>
      <c r="BD48" s="51">
        <f t="shared" si="13"/>
        <v>0.99999999999999989</v>
      </c>
      <c r="BE48" s="52"/>
    </row>
    <row r="49" spans="2:57" x14ac:dyDescent="0.2">
      <c r="B49" s="20">
        <f t="shared" si="8"/>
        <v>41</v>
      </c>
      <c r="C49" s="44">
        <v>3.4199999999999999E-3</v>
      </c>
      <c r="D49" s="45">
        <v>2.7499999999999998E-3</v>
      </c>
      <c r="E49" s="45">
        <v>2.6059999999999998E-3</v>
      </c>
      <c r="F49" s="45">
        <v>1.7900000000000001E-3</v>
      </c>
      <c r="G49" s="45">
        <f>(M49*($G$4+$H$2)+$G$5*O49)*(IF(B49&gt;=Age,$G$1*VLOOKUP('Q-Rates'!B49-Age+1,'Q-Rates'!$BC$8:$BD$128,2,0),1))</f>
        <v>2.1599999999999996E-3</v>
      </c>
      <c r="H49" s="45">
        <f>(N49*($H$4+$H$2)+$H$5*P49)*(IF(B49&gt;=Age,$G$1*VLOOKUP('Q-Rates'!B49-Age+1,'Q-Rates'!$BC$8:$BD$128,2,0),1))</f>
        <v>1.4741999999999999E-3</v>
      </c>
      <c r="I49" s="45">
        <f t="shared" si="14"/>
        <v>4.7040000000000005E-4</v>
      </c>
      <c r="J49" s="45">
        <f t="shared" si="9"/>
        <v>3.144E-4</v>
      </c>
      <c r="K49" s="45">
        <f>(S49*$K$5)*(IF(B49&gt;=Age,$K$1*VLOOKUP('Q-Rates'!B49-Age+1,'Q-Rates'!$BC$8:$BD$128,2,0),1))</f>
        <v>1.0709999999999997E-3</v>
      </c>
      <c r="L49" s="45">
        <f>(T49*$L$5)*(IF(B49&gt;=Age,$L$1*VLOOKUP('Q-Rates'!B49-Age+1,'Q-Rates'!$BC$8:$BD$128,2,0),1))</f>
        <v>8.3699999999999985E-4</v>
      </c>
      <c r="M49" s="45">
        <f>RI!Y27/1000</f>
        <v>2E-3</v>
      </c>
      <c r="N49" s="45">
        <f>RI!Z27/1000</f>
        <v>1.358E-3</v>
      </c>
      <c r="O49" s="45">
        <f>RI!AB27/1000</f>
        <v>2.9999999999999997E-4</v>
      </c>
      <c r="P49" s="45">
        <f>RI!AC27/1000</f>
        <v>2.0999999999999998E-4</v>
      </c>
      <c r="Q49" s="45">
        <f>RI!AE27/1000</f>
        <v>4.7040000000000005E-4</v>
      </c>
      <c r="R49" s="45">
        <f>RI!AF27/1000</f>
        <v>3.144E-4</v>
      </c>
      <c r="S49" s="45">
        <f>RI!AH27/1000</f>
        <v>9.5199999999999994E-4</v>
      </c>
      <c r="T49" s="45">
        <f>RI!AI27/1000</f>
        <v>7.4399999999999998E-4</v>
      </c>
      <c r="U49" s="45"/>
      <c r="V49" s="45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7">
        <v>0</v>
      </c>
      <c r="AO49" s="20">
        <f t="shared" si="10"/>
        <v>42</v>
      </c>
      <c r="AP49" s="48">
        <v>0</v>
      </c>
      <c r="AQ49" s="49">
        <v>0.1</v>
      </c>
      <c r="AR49" s="49">
        <f>IF($AO49&gt;[1]Basic!$D$29,0,VLOOKUP(MIN($AO49,6),[1]Specs!$Q$5:$R$11,2,0))</f>
        <v>0</v>
      </c>
      <c r="AS49" s="49">
        <v>0.08</v>
      </c>
      <c r="AT49" s="50">
        <f t="shared" si="2"/>
        <v>0</v>
      </c>
      <c r="AV49" s="20">
        <f t="shared" si="11"/>
        <v>42</v>
      </c>
      <c r="AW49" s="51">
        <f t="shared" si="15"/>
        <v>0</v>
      </c>
      <c r="AX49" s="23">
        <f t="shared" si="16"/>
        <v>0.1</v>
      </c>
      <c r="AY49" s="23">
        <f t="shared" si="17"/>
        <v>0</v>
      </c>
      <c r="AZ49" s="23">
        <f t="shared" si="18"/>
        <v>0.08</v>
      </c>
      <c r="BA49" s="52">
        <f t="shared" si="19"/>
        <v>0</v>
      </c>
      <c r="BC49" s="20">
        <f t="shared" si="12"/>
        <v>42</v>
      </c>
      <c r="BD49" s="51">
        <f t="shared" si="13"/>
        <v>0.99999999999999989</v>
      </c>
      <c r="BE49" s="52"/>
    </row>
    <row r="50" spans="2:57" x14ac:dyDescent="0.2">
      <c r="B50" s="20">
        <f t="shared" si="8"/>
        <v>42</v>
      </c>
      <c r="C50" s="44">
        <v>3.7100000000000002E-3</v>
      </c>
      <c r="D50" s="45">
        <v>2.98E-3</v>
      </c>
      <c r="E50" s="45">
        <v>2.7520000000000001E-3</v>
      </c>
      <c r="F50" s="45">
        <v>1.9219999999999999E-3</v>
      </c>
      <c r="G50" s="45">
        <f>(M50*($G$4+$H$2)+$G$5*O50)*(IF(B50&gt;=Age,$G$1*VLOOKUP('Q-Rates'!B50-Age+1,'Q-Rates'!$BC$8:$BD$128,2,0),1))</f>
        <v>2.2859999999999998E-3</v>
      </c>
      <c r="H50" s="45">
        <f>(N50*($H$4+$H$2)+$H$5*P50)*(IF(B50&gt;=Age,$G$1*VLOOKUP('Q-Rates'!B50-Age+1,'Q-Rates'!$BC$8:$BD$128,2,0),1))</f>
        <v>1.5935999999999999E-3</v>
      </c>
      <c r="I50" s="45">
        <f t="shared" si="14"/>
        <v>4.8840000000000005E-4</v>
      </c>
      <c r="J50" s="45">
        <f t="shared" si="9"/>
        <v>3.2040000000000004E-4</v>
      </c>
      <c r="K50" s="45">
        <f>(S50*$K$5)*(IF(B50&gt;=Age,$K$1*VLOOKUP('Q-Rates'!B50-Age+1,'Q-Rates'!$BC$8:$BD$128,2,0),1))</f>
        <v>1.2366E-3</v>
      </c>
      <c r="L50" s="45">
        <f>(T50*$L$5)*(IF(B50&gt;=Age,$L$1*VLOOKUP('Q-Rates'!B50-Age+1,'Q-Rates'!$BC$8:$BD$128,2,0),1))</f>
        <v>9.2519999999999994E-4</v>
      </c>
      <c r="M50" s="45">
        <f>RI!Y28/1000</f>
        <v>2.1080000000000001E-3</v>
      </c>
      <c r="N50" s="45">
        <f>RI!Z28/1000</f>
        <v>1.464E-3</v>
      </c>
      <c r="O50" s="45">
        <f>RI!AB28/1000</f>
        <v>3.2400000000000007E-4</v>
      </c>
      <c r="P50" s="45">
        <f>RI!AC28/1000</f>
        <v>2.3000000000000001E-4</v>
      </c>
      <c r="Q50" s="45">
        <f>RI!AE28/1000</f>
        <v>4.8840000000000005E-4</v>
      </c>
      <c r="R50" s="45">
        <f>RI!AF28/1000</f>
        <v>3.2040000000000004E-4</v>
      </c>
      <c r="S50" s="45">
        <f>RI!AH28/1000</f>
        <v>1.0992000000000003E-3</v>
      </c>
      <c r="T50" s="45">
        <f>RI!AI28/1000</f>
        <v>8.2240000000000004E-4</v>
      </c>
      <c r="U50" s="45"/>
      <c r="V50" s="45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7">
        <v>0</v>
      </c>
      <c r="AO50" s="20">
        <f t="shared" si="10"/>
        <v>43</v>
      </c>
      <c r="AP50" s="48">
        <v>0</v>
      </c>
      <c r="AQ50" s="49">
        <v>0.1</v>
      </c>
      <c r="AR50" s="49">
        <f>IF($AO50&gt;[1]Basic!$D$29,0,VLOOKUP(MIN($AO50,6),[1]Specs!$Q$5:$R$11,2,0))</f>
        <v>0</v>
      </c>
      <c r="AS50" s="49">
        <v>0.08</v>
      </c>
      <c r="AT50" s="50">
        <f t="shared" si="2"/>
        <v>0</v>
      </c>
      <c r="AV50" s="20">
        <f t="shared" si="11"/>
        <v>43</v>
      </c>
      <c r="AW50" s="51">
        <f t="shared" si="15"/>
        <v>0</v>
      </c>
      <c r="AX50" s="23">
        <f t="shared" si="16"/>
        <v>0.1</v>
      </c>
      <c r="AY50" s="23">
        <f t="shared" si="17"/>
        <v>0</v>
      </c>
      <c r="AZ50" s="23">
        <f t="shared" si="18"/>
        <v>0.08</v>
      </c>
      <c r="BA50" s="52">
        <f t="shared" si="19"/>
        <v>0</v>
      </c>
      <c r="BC50" s="20">
        <f t="shared" si="12"/>
        <v>43</v>
      </c>
      <c r="BD50" s="51">
        <f t="shared" si="13"/>
        <v>0.99999999999999989</v>
      </c>
      <c r="BE50" s="52"/>
    </row>
    <row r="51" spans="2:57" x14ac:dyDescent="0.2">
      <c r="B51" s="20">
        <f t="shared" si="8"/>
        <v>43</v>
      </c>
      <c r="C51" s="44">
        <v>4.0299999999999997E-3</v>
      </c>
      <c r="D51" s="45">
        <v>3.2000000000000002E-3</v>
      </c>
      <c r="E51" s="45">
        <v>2.9740000000000001E-3</v>
      </c>
      <c r="F51" s="45">
        <v>2.052E-3</v>
      </c>
      <c r="G51" s="45">
        <f>(M51*($G$4+$H$2)+$G$5*O51)*(IF(B51&gt;=Age,$G$1*VLOOKUP('Q-Rates'!B51-Age+1,'Q-Rates'!$BC$8:$BD$128,2,0),1))</f>
        <v>2.3981999999999992E-3</v>
      </c>
      <c r="H51" s="45">
        <f>(N51*($H$4+$H$2)+$H$5*P51)*(IF(B51&gt;=Age,$G$1*VLOOKUP('Q-Rates'!B51-Age+1,'Q-Rates'!$BC$8:$BD$128,2,0),1))</f>
        <v>1.7045999999999997E-3</v>
      </c>
      <c r="I51" s="45">
        <f t="shared" si="14"/>
        <v>5.0039999999999991E-4</v>
      </c>
      <c r="J51" s="45">
        <f t="shared" si="9"/>
        <v>3.2040000000000004E-4</v>
      </c>
      <c r="K51" s="45">
        <f>(S51*$K$5)*(IF(B51&gt;=Age,$K$1*VLOOKUP('Q-Rates'!B51-Age+1,'Q-Rates'!$BC$8:$BD$128,2,0),1))</f>
        <v>1.3932E-3</v>
      </c>
      <c r="L51" s="45">
        <f>(T51*$L$5)*(IF(B51&gt;=Age,$L$1*VLOOKUP('Q-Rates'!B51-Age+1,'Q-Rates'!$BC$8:$BD$128,2,0),1))</f>
        <v>1.0241999999999999E-3</v>
      </c>
      <c r="M51" s="45">
        <f>RI!Y29/1000</f>
        <v>2.2139999999999998E-3</v>
      </c>
      <c r="N51" s="45">
        <f>RI!Z29/1000</f>
        <v>1.5579999999999999E-3</v>
      </c>
      <c r="O51" s="45">
        <f>RI!AB29/1000</f>
        <v>3.3799999999999998E-4</v>
      </c>
      <c r="P51" s="45">
        <f>RI!AC29/1000</f>
        <v>2.52E-4</v>
      </c>
      <c r="Q51" s="45">
        <f>RI!AE29/1000</f>
        <v>5.0039999999999991E-4</v>
      </c>
      <c r="R51" s="45">
        <f>RI!AF29/1000</f>
        <v>3.2040000000000004E-4</v>
      </c>
      <c r="S51" s="45">
        <f>RI!AH29/1000</f>
        <v>1.2384000000000002E-3</v>
      </c>
      <c r="T51" s="45">
        <f>RI!AI29/1000</f>
        <v>9.1040000000000012E-4</v>
      </c>
      <c r="U51" s="45"/>
      <c r="V51" s="45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7">
        <v>0</v>
      </c>
      <c r="AO51" s="20">
        <f t="shared" si="10"/>
        <v>44</v>
      </c>
      <c r="AP51" s="48">
        <v>0</v>
      </c>
      <c r="AQ51" s="49">
        <v>0.1</v>
      </c>
      <c r="AR51" s="49">
        <f>IF($AO51&gt;[1]Basic!$D$29,0,VLOOKUP(MIN($AO51,6),[1]Specs!$Q$5:$R$11,2,0))</f>
        <v>0</v>
      </c>
      <c r="AS51" s="49">
        <v>0.08</v>
      </c>
      <c r="AT51" s="50">
        <f t="shared" si="2"/>
        <v>0</v>
      </c>
      <c r="AV51" s="20">
        <f t="shared" si="11"/>
        <v>44</v>
      </c>
      <c r="AW51" s="51">
        <f t="shared" si="15"/>
        <v>0</v>
      </c>
      <c r="AX51" s="23">
        <f t="shared" si="16"/>
        <v>0.1</v>
      </c>
      <c r="AY51" s="23">
        <f t="shared" si="17"/>
        <v>0</v>
      </c>
      <c r="AZ51" s="23">
        <f t="shared" si="18"/>
        <v>0.08</v>
      </c>
      <c r="BA51" s="52">
        <f t="shared" si="19"/>
        <v>0</v>
      </c>
      <c r="BC51" s="20">
        <f t="shared" si="12"/>
        <v>44</v>
      </c>
      <c r="BD51" s="51">
        <f t="shared" si="13"/>
        <v>0.99999999999999989</v>
      </c>
      <c r="BE51" s="52"/>
    </row>
    <row r="52" spans="2:57" x14ac:dyDescent="0.2">
      <c r="B52" s="20">
        <f t="shared" si="8"/>
        <v>44</v>
      </c>
      <c r="C52" s="44">
        <v>4.3699999999999998E-3</v>
      </c>
      <c r="D52" s="45">
        <v>3.4399999999999999E-3</v>
      </c>
      <c r="E52" s="45">
        <v>3.2119999999999996E-3</v>
      </c>
      <c r="F52" s="45">
        <v>2.1979999999999999E-3</v>
      </c>
      <c r="G52" s="45">
        <f>(M52*($G$4+$H$2)+$G$5*O52)*(IF(B52&gt;=Age,$G$1*VLOOKUP('Q-Rates'!B52-Age+1,'Q-Rates'!$BC$8:$BD$128,2,0),1))</f>
        <v>2.5691999999999998E-3</v>
      </c>
      <c r="H52" s="45">
        <f>(N52*($H$4+$H$2)+$H$5*P52)*(IF(B52&gt;=Age,$G$1*VLOOKUP('Q-Rates'!B52-Age+1,'Q-Rates'!$BC$8:$BD$128,2,0),1))</f>
        <v>1.8456E-3</v>
      </c>
      <c r="I52" s="45">
        <f t="shared" si="14"/>
        <v>5.2439999999999995E-4</v>
      </c>
      <c r="J52" s="45">
        <f t="shared" si="9"/>
        <v>3.2640000000000002E-4</v>
      </c>
      <c r="K52" s="45">
        <f>(S52*$K$5)*(IF(B52&gt;=Age,$K$1*VLOOKUP('Q-Rates'!B52-Age+1,'Q-Rates'!$BC$8:$BD$128,2,0),1))</f>
        <v>1.5623999999999996E-3</v>
      </c>
      <c r="L52" s="45">
        <f>(T52*$L$5)*(IF(B52&gt;=Age,$L$1*VLOOKUP('Q-Rates'!B52-Age+1,'Q-Rates'!$BC$8:$BD$128,2,0),1))</f>
        <v>1.1357999999999997E-3</v>
      </c>
      <c r="M52" s="45">
        <f>RI!Y30/1000</f>
        <v>2.356E-3</v>
      </c>
      <c r="N52" s="45">
        <f>RI!Z30/1000</f>
        <v>1.6800000000000001E-3</v>
      </c>
      <c r="O52" s="45">
        <f>RI!AB30/1000</f>
        <v>3.7399999999999998E-4</v>
      </c>
      <c r="P52" s="45">
        <f>RI!AC30/1000</f>
        <v>2.7800000000000004E-4</v>
      </c>
      <c r="Q52" s="45">
        <f>RI!AE30/1000</f>
        <v>5.2439999999999995E-4</v>
      </c>
      <c r="R52" s="45">
        <f>RI!AF30/1000</f>
        <v>3.2640000000000002E-4</v>
      </c>
      <c r="S52" s="45">
        <f>RI!AH30/1000</f>
        <v>1.3887999999999999E-3</v>
      </c>
      <c r="T52" s="45">
        <f>RI!AI30/1000</f>
        <v>1.0096E-3</v>
      </c>
      <c r="U52" s="45"/>
      <c r="V52" s="45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7">
        <v>0</v>
      </c>
      <c r="AO52" s="20">
        <f t="shared" si="10"/>
        <v>45</v>
      </c>
      <c r="AP52" s="48">
        <v>0</v>
      </c>
      <c r="AQ52" s="49">
        <v>0.1</v>
      </c>
      <c r="AR52" s="49">
        <f>IF($AO52&gt;[1]Basic!$D$29,0,VLOOKUP(MIN($AO52,6),[1]Specs!$Q$5:$R$11,2,0))</f>
        <v>0</v>
      </c>
      <c r="AS52" s="49">
        <v>0.08</v>
      </c>
      <c r="AT52" s="50">
        <f t="shared" si="2"/>
        <v>0</v>
      </c>
      <c r="AV52" s="20">
        <f t="shared" si="11"/>
        <v>45</v>
      </c>
      <c r="AW52" s="51">
        <f t="shared" si="15"/>
        <v>0</v>
      </c>
      <c r="AX52" s="23">
        <f t="shared" si="16"/>
        <v>0.1</v>
      </c>
      <c r="AY52" s="23">
        <f t="shared" si="17"/>
        <v>0</v>
      </c>
      <c r="AZ52" s="23">
        <f t="shared" si="18"/>
        <v>0.08</v>
      </c>
      <c r="BA52" s="52">
        <f t="shared" si="19"/>
        <v>0</v>
      </c>
      <c r="BC52" s="20">
        <f t="shared" si="12"/>
        <v>45</v>
      </c>
      <c r="BD52" s="51">
        <f t="shared" si="13"/>
        <v>0.99999999999999989</v>
      </c>
      <c r="BE52" s="52"/>
    </row>
    <row r="53" spans="2:57" x14ac:dyDescent="0.2">
      <c r="B53" s="20">
        <f t="shared" si="8"/>
        <v>45</v>
      </c>
      <c r="C53" s="44">
        <v>4.7299999999999998E-3</v>
      </c>
      <c r="D53" s="45">
        <v>3.6800000000000001E-3</v>
      </c>
      <c r="E53" s="45">
        <v>3.4640000000000001E-3</v>
      </c>
      <c r="F53" s="45">
        <v>2.346E-3</v>
      </c>
      <c r="G53" s="45">
        <f>(M53*($G$4+$H$2)+$G$5*O53)*(IF(B53&gt;=Age,$G$1*VLOOKUP('Q-Rates'!B53-Age+1,'Q-Rates'!$BC$8:$BD$128,2,0),1))</f>
        <v>2.7653999999999995E-3</v>
      </c>
      <c r="H53" s="45">
        <f>(N53*($H$4+$H$2)+$H$5*P53)*(IF(B53&gt;=Age,$G$1*VLOOKUP('Q-Rates'!B53-Age+1,'Q-Rates'!$BC$8:$BD$128,2,0),1))</f>
        <v>1.9895999999999994E-3</v>
      </c>
      <c r="I53" s="45">
        <f t="shared" si="14"/>
        <v>5.4239999999999996E-4</v>
      </c>
      <c r="J53" s="45">
        <f t="shared" si="9"/>
        <v>3.3840000000000004E-4</v>
      </c>
      <c r="K53" s="45">
        <f>(S53*$K$5)*(IF(B53&gt;=Age,$K$1*VLOOKUP('Q-Rates'!B53-Age+1,'Q-Rates'!$BC$8:$BD$128,2,0),1))</f>
        <v>1.7405999999999999E-3</v>
      </c>
      <c r="L53" s="45">
        <f>(T53*$L$5)*(IF(B53&gt;=Age,$L$1*VLOOKUP('Q-Rates'!B53-Age+1,'Q-Rates'!$BC$8:$BD$128,2,0),1))</f>
        <v>1.2527999999999997E-3</v>
      </c>
      <c r="M53" s="45">
        <f>RI!Y31/1000</f>
        <v>2.542E-3</v>
      </c>
      <c r="N53" s="45">
        <f>RI!Z31/1000</f>
        <v>1.7919999999999998E-3</v>
      </c>
      <c r="O53" s="45">
        <f>RI!AB31/1000</f>
        <v>3.9800000000000002E-4</v>
      </c>
      <c r="P53" s="45">
        <f>RI!AC31/1000</f>
        <v>3.1399999999999999E-4</v>
      </c>
      <c r="Q53" s="45">
        <f>RI!AE31/1000</f>
        <v>5.4239999999999996E-4</v>
      </c>
      <c r="R53" s="45">
        <f>RI!AF31/1000</f>
        <v>3.3840000000000004E-4</v>
      </c>
      <c r="S53" s="45">
        <f>RI!AH31/1000</f>
        <v>1.5472000000000001E-3</v>
      </c>
      <c r="T53" s="45">
        <f>RI!AI31/1000</f>
        <v>1.1136E-3</v>
      </c>
      <c r="U53" s="45"/>
      <c r="V53" s="45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7">
        <v>0</v>
      </c>
      <c r="AO53" s="20">
        <f t="shared" si="10"/>
        <v>46</v>
      </c>
      <c r="AP53" s="48">
        <v>0</v>
      </c>
      <c r="AQ53" s="49">
        <v>0.1</v>
      </c>
      <c r="AR53" s="49">
        <f>IF($AO53&gt;[1]Basic!$D$29,0,VLOOKUP(MIN($AO53,6),[1]Specs!$Q$5:$R$11,2,0))</f>
        <v>0</v>
      </c>
      <c r="AS53" s="49">
        <v>0.08</v>
      </c>
      <c r="AT53" s="50">
        <f t="shared" si="2"/>
        <v>0</v>
      </c>
      <c r="AV53" s="20">
        <f t="shared" si="11"/>
        <v>46</v>
      </c>
      <c r="AW53" s="51">
        <f t="shared" si="15"/>
        <v>0</v>
      </c>
      <c r="AX53" s="23">
        <f t="shared" si="16"/>
        <v>0.1</v>
      </c>
      <c r="AY53" s="23">
        <f t="shared" si="17"/>
        <v>0</v>
      </c>
      <c r="AZ53" s="23">
        <f t="shared" si="18"/>
        <v>0.08</v>
      </c>
      <c r="BA53" s="52">
        <f t="shared" si="19"/>
        <v>0</v>
      </c>
      <c r="BC53" s="20">
        <f t="shared" si="12"/>
        <v>46</v>
      </c>
      <c r="BD53" s="51">
        <f t="shared" si="13"/>
        <v>0.99999999999999989</v>
      </c>
      <c r="BE53" s="52"/>
    </row>
    <row r="54" spans="2:57" x14ac:dyDescent="0.2">
      <c r="B54" s="20">
        <f t="shared" si="8"/>
        <v>46</v>
      </c>
      <c r="C54" s="44">
        <v>5.1200000000000004E-3</v>
      </c>
      <c r="D54" s="45">
        <v>3.9199999999999999E-3</v>
      </c>
      <c r="E54" s="45">
        <v>3.738E-3</v>
      </c>
      <c r="F54" s="45">
        <v>2.5200000000000001E-3</v>
      </c>
      <c r="G54" s="45">
        <f>(M54*($G$4+$H$2)+$G$5*O54)*(IF(B54&gt;=Age,$G$1*VLOOKUP('Q-Rates'!B54-Age+1,'Q-Rates'!$BC$8:$BD$128,2,0),1))</f>
        <v>3.0108000000000001E-3</v>
      </c>
      <c r="H54" s="45">
        <f>(N54*($H$4+$H$2)+$H$5*P54)*(IF(B54&gt;=Age,$G$1*VLOOKUP('Q-Rates'!B54-Age+1,'Q-Rates'!$BC$8:$BD$128,2,0),1))</f>
        <v>2.1377999999999996E-3</v>
      </c>
      <c r="I54" s="45">
        <f t="shared" si="14"/>
        <v>5.664E-4</v>
      </c>
      <c r="J54" s="45">
        <f t="shared" si="9"/>
        <v>3.3840000000000004E-4</v>
      </c>
      <c r="K54" s="45">
        <f>(S54*$K$5)*(IF(B54&gt;=Age,$K$1*VLOOKUP('Q-Rates'!B54-Age+1,'Q-Rates'!$BC$8:$BD$128,2,0),1))</f>
        <v>1.9259999999999995E-3</v>
      </c>
      <c r="L54" s="45">
        <f>(T54*$L$5)*(IF(B54&gt;=Age,$L$1*VLOOKUP('Q-Rates'!B54-Age+1,'Q-Rates'!$BC$8:$BD$128,2,0),1))</f>
        <v>1.3661999999999999E-3</v>
      </c>
      <c r="M54" s="45">
        <f>RI!Y32/1000</f>
        <v>2.7640000000000004E-3</v>
      </c>
      <c r="N54" s="45">
        <f>RI!Z32/1000</f>
        <v>1.9139999999999999E-3</v>
      </c>
      <c r="O54" s="45">
        <f>RI!AB32/1000</f>
        <v>4.3600000000000008E-4</v>
      </c>
      <c r="P54" s="45">
        <f>RI!AC32/1000</f>
        <v>3.4600000000000001E-4</v>
      </c>
      <c r="Q54" s="45">
        <f>RI!AE32/1000</f>
        <v>5.664E-4</v>
      </c>
      <c r="R54" s="45">
        <f>RI!AF32/1000</f>
        <v>3.3840000000000004E-4</v>
      </c>
      <c r="S54" s="45">
        <f>RI!AH32/1000</f>
        <v>1.7119999999999998E-3</v>
      </c>
      <c r="T54" s="45">
        <f>RI!AI32/1000</f>
        <v>1.2144E-3</v>
      </c>
      <c r="U54" s="45"/>
      <c r="V54" s="45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7">
        <v>0</v>
      </c>
      <c r="AO54" s="20">
        <f t="shared" si="10"/>
        <v>47</v>
      </c>
      <c r="AP54" s="48">
        <v>0</v>
      </c>
      <c r="AQ54" s="49">
        <v>0.1</v>
      </c>
      <c r="AR54" s="49">
        <f>IF($AO54&gt;[1]Basic!$D$29,0,VLOOKUP(MIN($AO54,6),[1]Specs!$Q$5:$R$11,2,0))</f>
        <v>0</v>
      </c>
      <c r="AS54" s="49">
        <v>0.08</v>
      </c>
      <c r="AT54" s="50">
        <f t="shared" si="2"/>
        <v>0</v>
      </c>
      <c r="AV54" s="20">
        <f t="shared" si="11"/>
        <v>47</v>
      </c>
      <c r="AW54" s="51">
        <f t="shared" si="15"/>
        <v>0</v>
      </c>
      <c r="AX54" s="23">
        <f t="shared" si="16"/>
        <v>0.1</v>
      </c>
      <c r="AY54" s="23">
        <f t="shared" si="17"/>
        <v>0</v>
      </c>
      <c r="AZ54" s="23">
        <f t="shared" si="18"/>
        <v>0.08</v>
      </c>
      <c r="BA54" s="52">
        <f t="shared" si="19"/>
        <v>0</v>
      </c>
      <c r="BC54" s="20">
        <f t="shared" si="12"/>
        <v>47</v>
      </c>
      <c r="BD54" s="51">
        <f t="shared" si="13"/>
        <v>0.99999999999999989</v>
      </c>
      <c r="BE54" s="52"/>
    </row>
    <row r="55" spans="2:57" x14ac:dyDescent="0.2">
      <c r="B55" s="20">
        <f t="shared" si="8"/>
        <v>47</v>
      </c>
      <c r="C55" s="44">
        <v>5.5300000000000002E-3</v>
      </c>
      <c r="D55" s="45">
        <v>4.1900000000000001E-3</v>
      </c>
      <c r="E55" s="45">
        <v>4.0300000000000006E-3</v>
      </c>
      <c r="F55" s="45">
        <v>2.696E-3</v>
      </c>
      <c r="G55" s="45">
        <f>(M55*($G$4+$H$2)+$G$5*O55)*(IF(B55&gt;=Age,$G$1*VLOOKUP('Q-Rates'!B55-Age+1,'Q-Rates'!$BC$8:$BD$128,2,0),1))</f>
        <v>3.2556E-3</v>
      </c>
      <c r="H55" s="45">
        <f>(N55*($H$4+$H$2)+$H$5*P55)*(IF(B55&gt;=Age,$G$1*VLOOKUP('Q-Rates'!B55-Age+1,'Q-Rates'!$BC$8:$BD$128,2,0),1))</f>
        <v>2.2853999999999995E-3</v>
      </c>
      <c r="I55" s="45">
        <f t="shared" si="14"/>
        <v>5.9040000000000004E-4</v>
      </c>
      <c r="J55" s="45">
        <f t="shared" si="9"/>
        <v>3.4440000000000002E-4</v>
      </c>
      <c r="K55" s="45">
        <f>(S55*$K$5)*(IF(B55&gt;=Age,$K$1*VLOOKUP('Q-Rates'!B55-Age+1,'Q-Rates'!$BC$8:$BD$128,2,0),1))</f>
        <v>2.0987999999999996E-3</v>
      </c>
      <c r="L55" s="45">
        <f>(T55*$L$5)*(IF(B55&gt;=Age,$L$1*VLOOKUP('Q-Rates'!B55-Age+1,'Q-Rates'!$BC$8:$BD$128,2,0),1))</f>
        <v>1.4796E-3</v>
      </c>
      <c r="M55" s="45">
        <f>RI!Y33/1000</f>
        <v>2.9800000000000004E-3</v>
      </c>
      <c r="N55" s="45">
        <f>RI!Z33/1000</f>
        <v>2.0379999999999999E-3</v>
      </c>
      <c r="O55" s="45">
        <f>RI!AB33/1000</f>
        <v>4.7799999999999996E-4</v>
      </c>
      <c r="P55" s="45">
        <f>RI!AC33/1000</f>
        <v>3.7599999999999998E-4</v>
      </c>
      <c r="Q55" s="45">
        <f>RI!AE33/1000</f>
        <v>5.9040000000000004E-4</v>
      </c>
      <c r="R55" s="45">
        <f>RI!AF33/1000</f>
        <v>3.4440000000000002E-4</v>
      </c>
      <c r="S55" s="45">
        <f>RI!AH33/1000</f>
        <v>1.8656E-3</v>
      </c>
      <c r="T55" s="45">
        <f>RI!AI33/1000</f>
        <v>1.3152000000000001E-3</v>
      </c>
      <c r="U55" s="45"/>
      <c r="V55" s="45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7">
        <v>0</v>
      </c>
      <c r="AO55" s="20">
        <f t="shared" si="10"/>
        <v>48</v>
      </c>
      <c r="AP55" s="48">
        <v>0</v>
      </c>
      <c r="AQ55" s="49">
        <v>0.1</v>
      </c>
      <c r="AR55" s="49">
        <f>IF($AO55&gt;[1]Basic!$D$29,0,VLOOKUP(MIN($AO55,6),[1]Specs!$Q$5:$R$11,2,0))</f>
        <v>0</v>
      </c>
      <c r="AS55" s="49">
        <v>0.08</v>
      </c>
      <c r="AT55" s="50">
        <f t="shared" si="2"/>
        <v>0</v>
      </c>
      <c r="AV55" s="20">
        <f t="shared" si="11"/>
        <v>48</v>
      </c>
      <c r="AW55" s="51">
        <f t="shared" si="15"/>
        <v>0</v>
      </c>
      <c r="AX55" s="23">
        <f t="shared" si="16"/>
        <v>0.1</v>
      </c>
      <c r="AY55" s="23">
        <f t="shared" si="17"/>
        <v>0</v>
      </c>
      <c r="AZ55" s="23">
        <f t="shared" si="18"/>
        <v>0.08</v>
      </c>
      <c r="BA55" s="52">
        <f t="shared" si="19"/>
        <v>0</v>
      </c>
      <c r="BC55" s="20">
        <f t="shared" si="12"/>
        <v>48</v>
      </c>
      <c r="BD55" s="51">
        <f t="shared" si="13"/>
        <v>0.99999999999999989</v>
      </c>
      <c r="BE55" s="52"/>
    </row>
    <row r="56" spans="2:57" x14ac:dyDescent="0.2">
      <c r="B56" s="20">
        <f t="shared" si="8"/>
        <v>48</v>
      </c>
      <c r="C56" s="44">
        <v>5.9699999999999996E-3</v>
      </c>
      <c r="D56" s="45">
        <v>4.4799999999999996E-3</v>
      </c>
      <c r="E56" s="45">
        <v>4.3239999999999997E-3</v>
      </c>
      <c r="F56" s="45">
        <v>2.9120000000000001E-3</v>
      </c>
      <c r="G56" s="45">
        <f>(M56*($G$4+$H$2)+$G$5*O56)*(IF(B56&gt;=Age,$G$1*VLOOKUP('Q-Rates'!B56-Age+1,'Q-Rates'!$BC$8:$BD$128,2,0),1))</f>
        <v>3.5171999999999994E-3</v>
      </c>
      <c r="H56" s="45">
        <f>(N56*($H$4+$H$2)+$H$5*P56)*(IF(B56&gt;=Age,$G$1*VLOOKUP('Q-Rates'!B56-Age+1,'Q-Rates'!$BC$8:$BD$128,2,0),1))</f>
        <v>2.4678E-3</v>
      </c>
      <c r="I56" s="45">
        <f t="shared" si="14"/>
        <v>6.0840000000000004E-4</v>
      </c>
      <c r="J56" s="45">
        <f t="shared" si="9"/>
        <v>3.5040000000000006E-4</v>
      </c>
      <c r="K56" s="45">
        <f>(S56*$K$5)*(IF(B56&gt;=Age,$K$1*VLOOKUP('Q-Rates'!B56-Age+1,'Q-Rates'!$BC$8:$BD$128,2,0),1))</f>
        <v>2.2193999999999994E-3</v>
      </c>
      <c r="L56" s="45">
        <f>(T56*$L$5)*(IF(B56&gt;=Age,$L$1*VLOOKUP('Q-Rates'!B56-Age+1,'Q-Rates'!$BC$8:$BD$128,2,0),1))</f>
        <v>1.5642E-3</v>
      </c>
      <c r="M56" s="45">
        <f>RI!Y34/1000</f>
        <v>3.2199999999999998E-3</v>
      </c>
      <c r="N56" s="45">
        <f>RI!Z34/1000</f>
        <v>2.1900000000000005E-3</v>
      </c>
      <c r="O56" s="45">
        <f>RI!AB34/1000</f>
        <v>5.1599999999999997E-4</v>
      </c>
      <c r="P56" s="45">
        <f>RI!AC34/1000</f>
        <v>4.1400000000000003E-4</v>
      </c>
      <c r="Q56" s="45">
        <f>RI!AE34/1000</f>
        <v>6.0840000000000004E-4</v>
      </c>
      <c r="R56" s="45">
        <f>RI!AF34/1000</f>
        <v>3.5040000000000006E-4</v>
      </c>
      <c r="S56" s="45">
        <f>RI!AH34/1000</f>
        <v>1.9727999999999998E-3</v>
      </c>
      <c r="T56" s="45">
        <f>RI!AI34/1000</f>
        <v>1.3904000000000002E-3</v>
      </c>
      <c r="U56" s="45"/>
      <c r="V56" s="45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7">
        <v>0</v>
      </c>
      <c r="AO56" s="20">
        <f t="shared" si="10"/>
        <v>49</v>
      </c>
      <c r="AP56" s="48">
        <v>0</v>
      </c>
      <c r="AQ56" s="49">
        <v>0.1</v>
      </c>
      <c r="AR56" s="49">
        <f>IF($AO56&gt;[1]Basic!$D$29,0,VLOOKUP(MIN($AO56,6),[1]Specs!$Q$5:$R$11,2,0))</f>
        <v>0</v>
      </c>
      <c r="AS56" s="49">
        <v>0.08</v>
      </c>
      <c r="AT56" s="50">
        <f t="shared" si="2"/>
        <v>0</v>
      </c>
      <c r="AV56" s="20">
        <f t="shared" si="11"/>
        <v>49</v>
      </c>
      <c r="AW56" s="51">
        <f t="shared" si="15"/>
        <v>0</v>
      </c>
      <c r="AX56" s="23">
        <f t="shared" si="16"/>
        <v>0.1</v>
      </c>
      <c r="AY56" s="23">
        <f t="shared" si="17"/>
        <v>0</v>
      </c>
      <c r="AZ56" s="23">
        <f t="shared" si="18"/>
        <v>0.08</v>
      </c>
      <c r="BA56" s="52">
        <f t="shared" si="19"/>
        <v>0</v>
      </c>
      <c r="BC56" s="20">
        <f t="shared" si="12"/>
        <v>49</v>
      </c>
      <c r="BD56" s="51">
        <f t="shared" si="13"/>
        <v>0.99999999999999989</v>
      </c>
      <c r="BE56" s="52"/>
    </row>
    <row r="57" spans="2:57" x14ac:dyDescent="0.2">
      <c r="B57" s="20">
        <f t="shared" si="8"/>
        <v>49</v>
      </c>
      <c r="C57" s="44">
        <v>6.4599999999999996E-3</v>
      </c>
      <c r="D57" s="45">
        <v>4.79E-3</v>
      </c>
      <c r="E57" s="45">
        <v>4.6220000000000002E-3</v>
      </c>
      <c r="F57" s="45">
        <v>3.1479999999999998E-3</v>
      </c>
      <c r="G57" s="45">
        <f>(M57*($G$4+$H$2)+$G$5*O57)*(IF(B57&gt;=Age,$G$1*VLOOKUP('Q-Rates'!B57-Age+1,'Q-Rates'!$BC$8:$BD$128,2,0),1))</f>
        <v>3.7871999999999997E-3</v>
      </c>
      <c r="H57" s="45">
        <f>(N57*($H$4+$H$2)+$H$5*P57)*(IF(B57&gt;=Age,$G$1*VLOOKUP('Q-Rates'!B57-Age+1,'Q-Rates'!$BC$8:$BD$128,2,0),1))</f>
        <v>2.6657999999999999E-3</v>
      </c>
      <c r="I57" s="45">
        <f t="shared" si="14"/>
        <v>6.3840000000000012E-4</v>
      </c>
      <c r="J57" s="45">
        <f t="shared" si="9"/>
        <v>3.5040000000000006E-4</v>
      </c>
      <c r="K57" s="45">
        <f>(S57*$K$5)*(IF(B57&gt;=Age,$K$1*VLOOKUP('Q-Rates'!B57-Age+1,'Q-Rates'!$BC$8:$BD$128,2,0),1))</f>
        <v>2.3345999999999996E-3</v>
      </c>
      <c r="L57" s="45">
        <f>(T57*$L$5)*(IF(B57&gt;=Age,$L$1*VLOOKUP('Q-Rates'!B57-Age+1,'Q-Rates'!$BC$8:$BD$128,2,0),1))</f>
        <v>1.6398000000000001E-3</v>
      </c>
      <c r="M57" s="45">
        <f>RI!Y35/1000</f>
        <v>3.4640000000000001E-3</v>
      </c>
      <c r="N57" s="45">
        <f>RI!Z35/1000</f>
        <v>2.3540000000000002E-3</v>
      </c>
      <c r="O57" s="45">
        <f>RI!AB35/1000</f>
        <v>5.5800000000000001E-4</v>
      </c>
      <c r="P57" s="45">
        <f>RI!AC35/1000</f>
        <v>4.5599999999999997E-4</v>
      </c>
      <c r="Q57" s="45">
        <f>RI!AE35/1000</f>
        <v>6.3840000000000012E-4</v>
      </c>
      <c r="R57" s="45">
        <f>RI!AF35/1000</f>
        <v>3.5040000000000006E-4</v>
      </c>
      <c r="S57" s="45">
        <f>RI!AH35/1000</f>
        <v>2.0752000000000001E-3</v>
      </c>
      <c r="T57" s="45">
        <f>RI!AI35/1000</f>
        <v>1.4576000000000003E-3</v>
      </c>
      <c r="U57" s="45"/>
      <c r="V57" s="45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7">
        <v>0</v>
      </c>
      <c r="AO57" s="20">
        <f t="shared" si="10"/>
        <v>50</v>
      </c>
      <c r="AP57" s="48">
        <v>0</v>
      </c>
      <c r="AQ57" s="49">
        <v>0.1</v>
      </c>
      <c r="AR57" s="49">
        <f>IF($AO57&gt;[1]Basic!$D$29,0,VLOOKUP(MIN($AO57,6),[1]Specs!$Q$5:$R$11,2,0))</f>
        <v>0</v>
      </c>
      <c r="AS57" s="49">
        <v>0.08</v>
      </c>
      <c r="AT57" s="50">
        <f t="shared" si="2"/>
        <v>0</v>
      </c>
      <c r="AV57" s="20">
        <f t="shared" si="11"/>
        <v>50</v>
      </c>
      <c r="AW57" s="51">
        <f t="shared" si="15"/>
        <v>0</v>
      </c>
      <c r="AX57" s="23">
        <f t="shared" si="16"/>
        <v>0.1</v>
      </c>
      <c r="AY57" s="23">
        <f t="shared" si="17"/>
        <v>0</v>
      </c>
      <c r="AZ57" s="23">
        <f t="shared" si="18"/>
        <v>0.08</v>
      </c>
      <c r="BA57" s="52">
        <f t="shared" si="19"/>
        <v>0</v>
      </c>
      <c r="BC57" s="20">
        <f t="shared" si="12"/>
        <v>50</v>
      </c>
      <c r="BD57" s="51">
        <f t="shared" si="13"/>
        <v>0.99999999999999989</v>
      </c>
      <c r="BE57" s="52"/>
    </row>
    <row r="58" spans="2:57" x14ac:dyDescent="0.2">
      <c r="B58" s="20">
        <f t="shared" si="8"/>
        <v>50</v>
      </c>
      <c r="C58" s="44">
        <v>7.0000000000000001E-3</v>
      </c>
      <c r="D58" s="45">
        <v>5.13E-3</v>
      </c>
      <c r="E58" s="45">
        <v>4.9760000000000004E-3</v>
      </c>
      <c r="F58" s="45">
        <v>3.398E-3</v>
      </c>
      <c r="G58" s="45">
        <f>(M58*($G$4+$H$2)+$G$5*O58)*(IF(B58&gt;=Age,$G$1*VLOOKUP('Q-Rates'!B58-Age+1,'Q-Rates'!$BC$8:$BD$128,2,0),1))</f>
        <v>4.0631999999999986E-3</v>
      </c>
      <c r="H58" s="45">
        <f>(N58*($H$4+$H$2)+$H$5*P58)*(IF(B58&gt;=Age,$G$1*VLOOKUP('Q-Rates'!B58-Age+1,'Q-Rates'!$BC$8:$BD$128,2,0),1))</f>
        <v>2.8661999999999993E-3</v>
      </c>
      <c r="I58" s="45">
        <f t="shared" si="14"/>
        <v>6.6839999999999998E-4</v>
      </c>
      <c r="J58" s="45">
        <f t="shared" si="9"/>
        <v>3.5640000000000004E-4</v>
      </c>
      <c r="K58" s="45">
        <f>(S58*$K$5)*(IF(B58&gt;=Age,$K$1*VLOOKUP('Q-Rates'!B58-Age+1,'Q-Rates'!$BC$8:$BD$128,2,0),1))</f>
        <v>2.4803999999999998E-3</v>
      </c>
      <c r="L58" s="45">
        <f>(T58*$L$5)*(IF(B58&gt;=Age,$L$1*VLOOKUP('Q-Rates'!B58-Age+1,'Q-Rates'!$BC$8:$BD$128,2,0),1))</f>
        <v>1.7136E-3</v>
      </c>
      <c r="M58" s="45">
        <f>RI!Y36/1000</f>
        <v>3.7119999999999996E-3</v>
      </c>
      <c r="N58" s="45">
        <f>RI!Z36/1000</f>
        <v>2.5339999999999998E-3</v>
      </c>
      <c r="O58" s="45">
        <f>RI!AB36/1000</f>
        <v>6.020000000000001E-4</v>
      </c>
      <c r="P58" s="45">
        <f>RI!AC36/1000</f>
        <v>4.8799999999999999E-4</v>
      </c>
      <c r="Q58" s="45">
        <f>RI!AE36/1000</f>
        <v>6.6839999999999998E-4</v>
      </c>
      <c r="R58" s="45">
        <f>RI!AF36/1000</f>
        <v>3.5640000000000004E-4</v>
      </c>
      <c r="S58" s="45">
        <f>RI!AH36/1000</f>
        <v>2.2048000000000002E-3</v>
      </c>
      <c r="T58" s="45">
        <f>RI!AI36/1000</f>
        <v>1.5232000000000002E-3</v>
      </c>
      <c r="U58" s="45"/>
      <c r="V58" s="45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7">
        <v>0</v>
      </c>
      <c r="AO58" s="20">
        <f t="shared" si="10"/>
        <v>51</v>
      </c>
      <c r="AP58" s="48">
        <v>0</v>
      </c>
      <c r="AQ58" s="49">
        <v>0.1</v>
      </c>
      <c r="AR58" s="49">
        <f>IF($AO58&gt;[1]Basic!$D$29,0,VLOOKUP(MIN($AO58,6),[1]Specs!$Q$5:$R$11,2,0))</f>
        <v>0</v>
      </c>
      <c r="AS58" s="49">
        <v>0.08</v>
      </c>
      <c r="AT58" s="50">
        <f t="shared" si="2"/>
        <v>0</v>
      </c>
      <c r="AV58" s="20">
        <f t="shared" si="11"/>
        <v>51</v>
      </c>
      <c r="AW58" s="51">
        <f t="shared" si="15"/>
        <v>0</v>
      </c>
      <c r="AX58" s="23">
        <f t="shared" si="16"/>
        <v>0.1</v>
      </c>
      <c r="AY58" s="23">
        <f t="shared" si="17"/>
        <v>0</v>
      </c>
      <c r="AZ58" s="23">
        <f t="shared" si="18"/>
        <v>0.08</v>
      </c>
      <c r="BA58" s="52">
        <f t="shared" si="19"/>
        <v>0</v>
      </c>
      <c r="BC58" s="20">
        <f t="shared" si="12"/>
        <v>51</v>
      </c>
      <c r="BD58" s="51">
        <f t="shared" si="13"/>
        <v>0.99999999999999989</v>
      </c>
      <c r="BE58" s="52"/>
    </row>
    <row r="59" spans="2:57" x14ac:dyDescent="0.2">
      <c r="B59" s="20">
        <f t="shared" si="8"/>
        <v>51</v>
      </c>
      <c r="C59" s="44">
        <v>7.6299999999999996E-3</v>
      </c>
      <c r="D59" s="45">
        <v>5.4999999999999997E-3</v>
      </c>
      <c r="E59" s="45">
        <v>5.3539999999999994E-3</v>
      </c>
      <c r="F59" s="45">
        <v>3.6739999999999997E-3</v>
      </c>
      <c r="G59" s="45">
        <f>(M59*($G$4+$H$2)+$G$5*O59)*(IF(B59&gt;=Age,$G$1*VLOOKUP('Q-Rates'!B59-Age+1,'Q-Rates'!$BC$8:$BD$128,2,0),1))</f>
        <v>4.3715999999999989E-3</v>
      </c>
      <c r="H59" s="45">
        <f>(N59*($H$4+$H$2)+$H$5*P59)*(IF(B59&gt;=Age,$G$1*VLOOKUP('Q-Rates'!B59-Age+1,'Q-Rates'!$BC$8:$BD$128,2,0),1))</f>
        <v>3.1127999999999998E-3</v>
      </c>
      <c r="I59" s="45">
        <f t="shared" si="14"/>
        <v>6.9839999999999995E-4</v>
      </c>
      <c r="J59" s="45">
        <f t="shared" si="9"/>
        <v>3.6240000000000008E-4</v>
      </c>
      <c r="K59" s="45">
        <f>(S59*$K$5)*(IF(B59&gt;=Age,$K$1*VLOOKUP('Q-Rates'!B59-Age+1,'Q-Rates'!$BC$8:$BD$128,2,0),1))</f>
        <v>2.6369999999999992E-3</v>
      </c>
      <c r="L59" s="45">
        <f>(T59*$L$5)*(IF(B59&gt;=Age,$L$1*VLOOKUP('Q-Rates'!B59-Age+1,'Q-Rates'!$BC$8:$BD$128,2,0),1))</f>
        <v>1.7748E-3</v>
      </c>
      <c r="M59" s="45">
        <f>RI!Y37/1000</f>
        <v>3.98E-3</v>
      </c>
      <c r="N59" s="45">
        <f>RI!Z37/1000</f>
        <v>2.7359999999999997E-3</v>
      </c>
      <c r="O59" s="45">
        <f>RI!AB37/1000</f>
        <v>6.5800000000000006E-4</v>
      </c>
      <c r="P59" s="45">
        <f>RI!AC37/1000</f>
        <v>5.4200000000000006E-4</v>
      </c>
      <c r="Q59" s="45">
        <f>RI!AE37/1000</f>
        <v>6.9839999999999995E-4</v>
      </c>
      <c r="R59" s="45">
        <f>RI!AF37/1000</f>
        <v>3.6240000000000008E-4</v>
      </c>
      <c r="S59" s="45">
        <f>RI!AH37/1000</f>
        <v>2.3439999999999997E-3</v>
      </c>
      <c r="T59" s="45">
        <f>RI!AI37/1000</f>
        <v>1.5776000000000002E-3</v>
      </c>
      <c r="U59" s="45"/>
      <c r="V59" s="45"/>
      <c r="W59" s="55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7">
        <v>0</v>
      </c>
      <c r="AO59" s="20">
        <f t="shared" si="10"/>
        <v>52</v>
      </c>
      <c r="AP59" s="48">
        <v>0</v>
      </c>
      <c r="AQ59" s="49">
        <v>0.1</v>
      </c>
      <c r="AR59" s="49">
        <f>IF($AO59&gt;[1]Basic!$D$29,0,VLOOKUP(MIN($AO59,6),[1]Specs!$Q$5:$R$11,2,0))</f>
        <v>0</v>
      </c>
      <c r="AS59" s="49">
        <v>0.08</v>
      </c>
      <c r="AT59" s="50">
        <f t="shared" si="2"/>
        <v>0</v>
      </c>
      <c r="AV59" s="20">
        <f t="shared" si="11"/>
        <v>52</v>
      </c>
      <c r="AW59" s="51">
        <f t="shared" si="15"/>
        <v>0</v>
      </c>
      <c r="AX59" s="23">
        <f t="shared" si="16"/>
        <v>0.1</v>
      </c>
      <c r="AY59" s="23">
        <f t="shared" si="17"/>
        <v>0</v>
      </c>
      <c r="AZ59" s="23">
        <f t="shared" si="18"/>
        <v>0.08</v>
      </c>
      <c r="BA59" s="52">
        <f t="shared" si="19"/>
        <v>0</v>
      </c>
      <c r="BC59" s="20">
        <f t="shared" si="12"/>
        <v>52</v>
      </c>
      <c r="BD59" s="51">
        <f t="shared" si="13"/>
        <v>0.99999999999999989</v>
      </c>
      <c r="BE59" s="52"/>
    </row>
    <row r="60" spans="2:57" x14ac:dyDescent="0.2">
      <c r="B60" s="20">
        <f t="shared" si="8"/>
        <v>52</v>
      </c>
      <c r="C60" s="44">
        <v>8.3300000000000006E-3</v>
      </c>
      <c r="D60" s="45">
        <v>5.9199999999999999E-3</v>
      </c>
      <c r="E60" s="45">
        <v>5.764E-3</v>
      </c>
      <c r="F60" s="45">
        <v>3.9740000000000001E-3</v>
      </c>
      <c r="G60" s="45">
        <f>(M60*($G$4+$H$2)+$G$5*O60)*(IF(B60&gt;=Age,$G$1*VLOOKUP('Q-Rates'!B60-Age+1,'Q-Rates'!$BC$8:$BD$128,2,0),1))</f>
        <v>4.7267999999999989E-3</v>
      </c>
      <c r="H60" s="45">
        <f>(N60*($H$4+$H$2)+$H$5*P60)*(IF(B60&gt;=Age,$G$1*VLOOKUP('Q-Rates'!B60-Age+1,'Q-Rates'!$BC$8:$BD$128,2,0),1))</f>
        <v>3.3473999999999995E-3</v>
      </c>
      <c r="I60" s="45">
        <f t="shared" si="14"/>
        <v>7.4040000000000011E-4</v>
      </c>
      <c r="J60" s="45">
        <f t="shared" si="9"/>
        <v>3.7440000000000005E-4</v>
      </c>
      <c r="K60" s="45">
        <f>(S60*$K$5)*(IF(B60&gt;=Age,$K$1*VLOOKUP('Q-Rates'!B60-Age+1,'Q-Rates'!$BC$8:$BD$128,2,0),1))</f>
        <v>2.8115999999999996E-3</v>
      </c>
      <c r="L60" s="45">
        <f>(T60*$L$5)*(IF(B60&gt;=Age,$L$1*VLOOKUP('Q-Rates'!B60-Age+1,'Q-Rates'!$BC$8:$BD$128,2,0),1))</f>
        <v>1.8287999999999998E-3</v>
      </c>
      <c r="M60" s="45">
        <f>RI!Y38/1000</f>
        <v>4.2759999999999994E-3</v>
      </c>
      <c r="N60" s="45">
        <f>RI!Z38/1000</f>
        <v>2.9379999999999996E-3</v>
      </c>
      <c r="O60" s="45">
        <f>RI!AB38/1000</f>
        <v>7.3200000000000001E-4</v>
      </c>
      <c r="P60" s="45">
        <f>RI!AC38/1000</f>
        <v>5.8600000000000004E-4</v>
      </c>
      <c r="Q60" s="45">
        <f>RI!AE38/1000</f>
        <v>7.4040000000000011E-4</v>
      </c>
      <c r="R60" s="45">
        <f>RI!AF38/1000</f>
        <v>3.7440000000000005E-4</v>
      </c>
      <c r="S60" s="45">
        <f>RI!AH38/1000</f>
        <v>2.4992E-3</v>
      </c>
      <c r="T60" s="45">
        <f>RI!AI38/1000</f>
        <v>1.6256E-3</v>
      </c>
      <c r="U60" s="45"/>
      <c r="V60" s="45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7">
        <v>0</v>
      </c>
      <c r="AO60" s="20">
        <f t="shared" si="10"/>
        <v>53</v>
      </c>
      <c r="AP60" s="48">
        <v>0</v>
      </c>
      <c r="AQ60" s="49">
        <v>0.1</v>
      </c>
      <c r="AR60" s="49">
        <f>IF($AO60&gt;[1]Basic!$D$29,0,VLOOKUP(MIN($AO60,6),[1]Specs!$Q$5:$R$11,2,0))</f>
        <v>0</v>
      </c>
      <c r="AS60" s="49">
        <v>0.08</v>
      </c>
      <c r="AT60" s="50">
        <f t="shared" si="2"/>
        <v>0</v>
      </c>
      <c r="AV60" s="20">
        <f t="shared" si="11"/>
        <v>53</v>
      </c>
      <c r="AW60" s="51">
        <f t="shared" si="15"/>
        <v>0</v>
      </c>
      <c r="AX60" s="23">
        <f t="shared" si="16"/>
        <v>0.1</v>
      </c>
      <c r="AY60" s="23">
        <f t="shared" si="17"/>
        <v>0</v>
      </c>
      <c r="AZ60" s="23">
        <f t="shared" si="18"/>
        <v>0.08</v>
      </c>
      <c r="BA60" s="52">
        <f t="shared" si="19"/>
        <v>0</v>
      </c>
      <c r="BC60" s="20">
        <f t="shared" si="12"/>
        <v>53</v>
      </c>
      <c r="BD60" s="51">
        <f t="shared" si="13"/>
        <v>0.99999999999999989</v>
      </c>
      <c r="BE60" s="52"/>
    </row>
    <row r="61" spans="2:57" x14ac:dyDescent="0.2">
      <c r="B61" s="20">
        <f t="shared" si="8"/>
        <v>53</v>
      </c>
      <c r="C61" s="44">
        <v>9.1299999999999992E-3</v>
      </c>
      <c r="D61" s="45">
        <v>6.3800000000000003E-3</v>
      </c>
      <c r="E61" s="45">
        <v>6.3900000000000007E-3</v>
      </c>
      <c r="F61" s="45">
        <v>4.45E-3</v>
      </c>
      <c r="G61" s="45">
        <f>(M61*($G$4+$H$2)+$G$5*O61)*(IF(B61&gt;=Age,$G$1*VLOOKUP('Q-Rates'!B61-Age+1,'Q-Rates'!$BC$8:$BD$128,2,0),1))</f>
        <v>5.1072000000000001E-3</v>
      </c>
      <c r="H61" s="45">
        <f>(N61*($H$4+$H$2)+$H$5*P61)*(IF(B61&gt;=Age,$G$1*VLOOKUP('Q-Rates'!B61-Age+1,'Q-Rates'!$BC$8:$BD$128,2,0),1))</f>
        <v>3.6233999999999993E-3</v>
      </c>
      <c r="I61" s="45">
        <f t="shared" si="14"/>
        <v>7.8239999999999994E-4</v>
      </c>
      <c r="J61" s="45">
        <f t="shared" si="9"/>
        <v>3.8040000000000003E-4</v>
      </c>
      <c r="K61" s="45">
        <f>(S61*$K$5)*(IF(B61&gt;=Age,$K$1*VLOOKUP('Q-Rates'!B61-Age+1,'Q-Rates'!$BC$8:$BD$128,2,0),1))</f>
        <v>2.9015999999999998E-3</v>
      </c>
      <c r="L61" s="45">
        <f>(T61*$L$5)*(IF(B61&gt;=Age,$L$1*VLOOKUP('Q-Rates'!B61-Age+1,'Q-Rates'!$BC$8:$BD$128,2,0),1))</f>
        <v>1.7928E-3</v>
      </c>
      <c r="M61" s="45">
        <f>RI!Y39/1000</f>
        <v>4.5999999999999999E-3</v>
      </c>
      <c r="N61" s="45">
        <f>RI!Z39/1000</f>
        <v>3.1779999999999998E-3</v>
      </c>
      <c r="O61" s="45">
        <f>RI!AB39/1000</f>
        <v>8.0600000000000008E-4</v>
      </c>
      <c r="P61" s="45">
        <f>RI!AC39/1000</f>
        <v>6.3600000000000006E-4</v>
      </c>
      <c r="Q61" s="45">
        <f>RI!AE39/1000</f>
        <v>7.8239999999999994E-4</v>
      </c>
      <c r="R61" s="45">
        <f>RI!AF39/1000</f>
        <v>3.8040000000000003E-4</v>
      </c>
      <c r="S61" s="45">
        <f>RI!AH39/1000</f>
        <v>2.5792000000000002E-3</v>
      </c>
      <c r="T61" s="45">
        <f>RI!AI39/1000</f>
        <v>1.5936000000000001E-3</v>
      </c>
      <c r="U61" s="45"/>
      <c r="V61" s="45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7">
        <v>0</v>
      </c>
      <c r="AO61" s="20">
        <f t="shared" si="10"/>
        <v>54</v>
      </c>
      <c r="AP61" s="48">
        <v>0</v>
      </c>
      <c r="AQ61" s="49">
        <v>0.1</v>
      </c>
      <c r="AR61" s="49">
        <f>IF($AO61&gt;[1]Basic!$D$29,0,VLOOKUP(MIN($AO61,6),[1]Specs!$Q$5:$R$11,2,0))</f>
        <v>0</v>
      </c>
      <c r="AS61" s="49">
        <v>0.08</v>
      </c>
      <c r="AT61" s="50">
        <f t="shared" si="2"/>
        <v>0</v>
      </c>
      <c r="AV61" s="20">
        <f t="shared" si="11"/>
        <v>54</v>
      </c>
      <c r="AW61" s="51">
        <f t="shared" si="15"/>
        <v>0</v>
      </c>
      <c r="AX61" s="23">
        <f t="shared" si="16"/>
        <v>0.1</v>
      </c>
      <c r="AY61" s="23">
        <f t="shared" si="17"/>
        <v>0</v>
      </c>
      <c r="AZ61" s="23">
        <f t="shared" si="18"/>
        <v>0.08</v>
      </c>
      <c r="BA61" s="52">
        <f t="shared" si="19"/>
        <v>0</v>
      </c>
      <c r="BC61" s="20">
        <f t="shared" si="12"/>
        <v>54</v>
      </c>
      <c r="BD61" s="51">
        <f t="shared" si="13"/>
        <v>0.99999999999999989</v>
      </c>
      <c r="BE61" s="52"/>
    </row>
    <row r="62" spans="2:57" x14ac:dyDescent="0.2">
      <c r="B62" s="20">
        <f t="shared" si="8"/>
        <v>54</v>
      </c>
      <c r="C62" s="44">
        <v>1.001E-2</v>
      </c>
      <c r="D62" s="45">
        <v>6.8500000000000002E-3</v>
      </c>
      <c r="E62" s="45">
        <v>7.0600000000000003E-3</v>
      </c>
      <c r="F62" s="45">
        <v>4.9580000000000006E-3</v>
      </c>
      <c r="G62" s="45">
        <f>(M62*($G$4+$H$2)+$G$5*O62)*(IF(B62&gt;=Age,$G$1*VLOOKUP('Q-Rates'!B62-Age+1,'Q-Rates'!$BC$8:$BD$128,2,0),1))</f>
        <v>5.5109999999999994E-3</v>
      </c>
      <c r="H62" s="45">
        <f>(N62*($H$4+$H$2)+$H$5*P62)*(IF(B62&gt;=Age,$G$1*VLOOKUP('Q-Rates'!B62-Age+1,'Q-Rates'!$BC$8:$BD$128,2,0),1))</f>
        <v>3.9239999999999995E-3</v>
      </c>
      <c r="I62" s="45">
        <f t="shared" si="14"/>
        <v>8.2439999999999998E-4</v>
      </c>
      <c r="J62" s="45">
        <f t="shared" si="9"/>
        <v>3.9240000000000005E-4</v>
      </c>
      <c r="K62" s="45">
        <f>(S62*$K$5)*(IF(B62&gt;=Age,$K$1*VLOOKUP('Q-Rates'!B62-Age+1,'Q-Rates'!$BC$8:$BD$128,2,0),1))</f>
        <v>2.9952000000000004E-3</v>
      </c>
      <c r="L62" s="45">
        <f>(T62*$L$5)*(IF(B62&gt;=Age,$L$1*VLOOKUP('Q-Rates'!B62-Age+1,'Q-Rates'!$BC$8:$BD$128,2,0),1))</f>
        <v>1.7405999999999999E-3</v>
      </c>
      <c r="M62" s="45">
        <f>RI!Y40/1000</f>
        <v>4.934E-3</v>
      </c>
      <c r="N62" s="45">
        <f>RI!Z40/1000</f>
        <v>3.4320000000000002E-3</v>
      </c>
      <c r="O62" s="45">
        <f>RI!AB40/1000</f>
        <v>8.92E-4</v>
      </c>
      <c r="P62" s="45">
        <f>RI!AC40/1000</f>
        <v>6.9600000000000011E-4</v>
      </c>
      <c r="Q62" s="45">
        <f>RI!AE40/1000</f>
        <v>8.2439999999999998E-4</v>
      </c>
      <c r="R62" s="45">
        <f>RI!AF40/1000</f>
        <v>3.9240000000000005E-4</v>
      </c>
      <c r="S62" s="45">
        <f>RI!AH40/1000</f>
        <v>2.6624000000000005E-3</v>
      </c>
      <c r="T62" s="45">
        <f>RI!AI40/1000</f>
        <v>1.5472000000000001E-3</v>
      </c>
      <c r="U62" s="45"/>
      <c r="V62" s="45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7">
        <v>0</v>
      </c>
      <c r="AO62" s="20">
        <f t="shared" si="10"/>
        <v>55</v>
      </c>
      <c r="AP62" s="48">
        <v>0</v>
      </c>
      <c r="AQ62" s="49">
        <v>0.1</v>
      </c>
      <c r="AR62" s="49">
        <f>IF($AO62&gt;[1]Basic!$D$29,0,VLOOKUP(MIN($AO62,6),[1]Specs!$Q$5:$R$11,2,0))</f>
        <v>0</v>
      </c>
      <c r="AS62" s="49">
        <v>0.08</v>
      </c>
      <c r="AT62" s="50">
        <f t="shared" si="2"/>
        <v>0</v>
      </c>
      <c r="AV62" s="20">
        <f t="shared" si="11"/>
        <v>55</v>
      </c>
      <c r="AW62" s="51">
        <f t="shared" si="15"/>
        <v>0</v>
      </c>
      <c r="AX62" s="23">
        <f t="shared" si="16"/>
        <v>0.1</v>
      </c>
      <c r="AY62" s="23">
        <f t="shared" si="17"/>
        <v>0</v>
      </c>
      <c r="AZ62" s="23">
        <f t="shared" si="18"/>
        <v>0.08</v>
      </c>
      <c r="BA62" s="52">
        <f t="shared" si="19"/>
        <v>0</v>
      </c>
      <c r="BC62" s="20">
        <f t="shared" si="12"/>
        <v>55</v>
      </c>
      <c r="BD62" s="51">
        <f t="shared" si="13"/>
        <v>0.99999999999999989</v>
      </c>
      <c r="BE62" s="52"/>
    </row>
    <row r="63" spans="2:57" x14ac:dyDescent="0.2">
      <c r="B63" s="20">
        <f t="shared" si="8"/>
        <v>55</v>
      </c>
      <c r="C63" s="44">
        <v>1.0959999999999999E-2</v>
      </c>
      <c r="D63" s="45">
        <v>7.3299999999999997E-3</v>
      </c>
      <c r="E63" s="45">
        <v>7.7819999999999999E-3</v>
      </c>
      <c r="F63" s="45">
        <v>5.5140000000000015E-3</v>
      </c>
      <c r="G63" s="45">
        <f>(M63*($G$4+$H$2)+$G$5*O63)*(IF(B63&gt;=Age,$G$1*VLOOKUP('Q-Rates'!B63-Age+1,'Q-Rates'!$BC$8:$BD$128,2,0),1))</f>
        <v>6.1313999999999987E-3</v>
      </c>
      <c r="H63" s="45">
        <f>(N63*($H$4+$H$2)+$H$5*P63)*(IF(B63&gt;=Age,$G$1*VLOOKUP('Q-Rates'!B63-Age+1,'Q-Rates'!$BC$8:$BD$128,2,0),1))</f>
        <v>4.3799999999999993E-3</v>
      </c>
      <c r="I63" s="45">
        <f t="shared" si="14"/>
        <v>8.784000000000001E-4</v>
      </c>
      <c r="J63" s="45">
        <f t="shared" si="9"/>
        <v>3.9840000000000003E-4</v>
      </c>
      <c r="K63" s="45">
        <f>(S63*$K$5)*(IF(B63&gt;=Age,$K$1*VLOOKUP('Q-Rates'!B63-Age+1,'Q-Rates'!$BC$8:$BD$128,2,0),1))</f>
        <v>3.0744000000000001E-3</v>
      </c>
      <c r="L63" s="45">
        <f>(T63*$L$5)*(IF(B63&gt;=Age,$L$1*VLOOKUP('Q-Rates'!B63-Age+1,'Q-Rates'!$BC$8:$BD$128,2,0),1))</f>
        <v>1.6722E-3</v>
      </c>
      <c r="M63" s="45">
        <f>RI!Y41/1000</f>
        <v>5.4979999999999994E-3</v>
      </c>
      <c r="N63" s="45">
        <f>RI!Z41/1000</f>
        <v>3.8560000000000001E-3</v>
      </c>
      <c r="O63" s="45">
        <f>RI!AB41/1000</f>
        <v>9.859999999999999E-4</v>
      </c>
      <c r="P63" s="45">
        <f>RI!AC41/1000</f>
        <v>7.5799999999999999E-4</v>
      </c>
      <c r="Q63" s="45">
        <f>RI!AE41/1000</f>
        <v>8.784000000000001E-4</v>
      </c>
      <c r="R63" s="45">
        <f>RI!AF41/1000</f>
        <v>3.9840000000000003E-4</v>
      </c>
      <c r="S63" s="45">
        <f>RI!AH41/1000</f>
        <v>2.7328000000000005E-3</v>
      </c>
      <c r="T63" s="45">
        <f>RI!AI41/1000</f>
        <v>1.4864000000000001E-3</v>
      </c>
      <c r="U63" s="45"/>
      <c r="V63" s="45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>
        <v>0</v>
      </c>
      <c r="AO63" s="20">
        <f t="shared" si="10"/>
        <v>56</v>
      </c>
      <c r="AP63" s="48">
        <v>0</v>
      </c>
      <c r="AQ63" s="49">
        <v>0.1</v>
      </c>
      <c r="AR63" s="49">
        <f>IF($AO63&gt;[1]Basic!$D$29,0,VLOOKUP(MIN($AO63,6),[1]Specs!$Q$5:$R$11,2,0))</f>
        <v>0</v>
      </c>
      <c r="AS63" s="49">
        <v>0.08</v>
      </c>
      <c r="AT63" s="50">
        <f t="shared" si="2"/>
        <v>0</v>
      </c>
      <c r="AV63" s="20">
        <f t="shared" si="11"/>
        <v>56</v>
      </c>
      <c r="AW63" s="51">
        <f t="shared" si="15"/>
        <v>0</v>
      </c>
      <c r="AX63" s="23">
        <f t="shared" si="16"/>
        <v>0.1</v>
      </c>
      <c r="AY63" s="23">
        <f t="shared" si="17"/>
        <v>0</v>
      </c>
      <c r="AZ63" s="23">
        <f t="shared" si="18"/>
        <v>0.08</v>
      </c>
      <c r="BA63" s="52">
        <f t="shared" si="19"/>
        <v>0</v>
      </c>
      <c r="BC63" s="20">
        <f t="shared" si="12"/>
        <v>56</v>
      </c>
      <c r="BD63" s="51">
        <f t="shared" si="13"/>
        <v>0.99999999999999989</v>
      </c>
      <c r="BE63" s="52"/>
    </row>
    <row r="64" spans="2:57" x14ac:dyDescent="0.2">
      <c r="B64" s="20">
        <f t="shared" si="8"/>
        <v>56</v>
      </c>
      <c r="C64" s="44">
        <v>1.197E-2</v>
      </c>
      <c r="D64" s="45">
        <v>7.7999999999999996E-3</v>
      </c>
      <c r="E64" s="45">
        <v>8.5859999999999999E-3</v>
      </c>
      <c r="F64" s="45">
        <v>6.0080000000000003E-3</v>
      </c>
      <c r="G64" s="45">
        <f>(M64*($G$4+$H$2)+$G$5*O64)*(IF(B64&gt;=Age,$G$1*VLOOKUP('Q-Rates'!B64-Age+1,'Q-Rates'!$BC$8:$BD$128,2,0),1))</f>
        <v>6.7811999999999985E-3</v>
      </c>
      <c r="H64" s="45">
        <f>(N64*($H$4+$H$2)+$H$5*P64)*(IF(B64&gt;=Age,$G$1*VLOOKUP('Q-Rates'!B64-Age+1,'Q-Rates'!$BC$8:$BD$128,2,0),1))</f>
        <v>4.864799999999999E-3</v>
      </c>
      <c r="I64" s="45">
        <f t="shared" si="14"/>
        <v>9.324E-4</v>
      </c>
      <c r="J64" s="45">
        <f t="shared" si="9"/>
        <v>4.1040000000000006E-4</v>
      </c>
      <c r="K64" s="45">
        <f>(S64*$K$5)*(IF(B64&gt;=Age,$K$1*VLOOKUP('Q-Rates'!B64-Age+1,'Q-Rates'!$BC$8:$BD$128,2,0),1))</f>
        <v>3.0384000000000001E-3</v>
      </c>
      <c r="L64" s="45">
        <f>(T64*$L$5)*(IF(B64&gt;=Age,$L$1*VLOOKUP('Q-Rates'!B64-Age+1,'Q-Rates'!$BC$8:$BD$128,2,0),1))</f>
        <v>1.593E-3</v>
      </c>
      <c r="M64" s="45">
        <f>RI!Y42/1000</f>
        <v>6.0919999999999993E-3</v>
      </c>
      <c r="N64" s="45">
        <f>RI!Z42/1000</f>
        <v>4.3119999999999999E-3</v>
      </c>
      <c r="O64" s="45">
        <f>RI!AB42/1000</f>
        <v>1.0819999999999998E-3</v>
      </c>
      <c r="P64" s="45">
        <f>RI!AC42/1000</f>
        <v>8.2000000000000009E-4</v>
      </c>
      <c r="Q64" s="45">
        <f>RI!AE42/1000</f>
        <v>9.324E-4</v>
      </c>
      <c r="R64" s="45">
        <f>RI!AF42/1000</f>
        <v>4.1040000000000006E-4</v>
      </c>
      <c r="S64" s="45">
        <f>RI!AH42/1000</f>
        <v>2.7008000000000006E-3</v>
      </c>
      <c r="T64" s="45">
        <f>RI!AI42/1000</f>
        <v>1.4160000000000002E-3</v>
      </c>
      <c r="U64" s="45"/>
      <c r="V64" s="45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7">
        <v>0</v>
      </c>
      <c r="AO64" s="20">
        <f t="shared" si="10"/>
        <v>57</v>
      </c>
      <c r="AP64" s="48">
        <v>0</v>
      </c>
      <c r="AQ64" s="49">
        <v>0.1</v>
      </c>
      <c r="AR64" s="49">
        <f>IF($AO64&gt;[1]Basic!$D$29,0,VLOOKUP(MIN($AO64,6),[1]Specs!$Q$5:$R$11,2,0))</f>
        <v>0</v>
      </c>
      <c r="AS64" s="49">
        <v>0.08</v>
      </c>
      <c r="AT64" s="50">
        <f t="shared" si="2"/>
        <v>0</v>
      </c>
      <c r="AV64" s="20">
        <f t="shared" si="11"/>
        <v>57</v>
      </c>
      <c r="AW64" s="51">
        <f t="shared" si="15"/>
        <v>0</v>
      </c>
      <c r="AX64" s="23">
        <f t="shared" si="16"/>
        <v>0.1</v>
      </c>
      <c r="AY64" s="23">
        <f t="shared" si="17"/>
        <v>0</v>
      </c>
      <c r="AZ64" s="23">
        <f t="shared" si="18"/>
        <v>0.08</v>
      </c>
      <c r="BA64" s="52">
        <f t="shared" si="19"/>
        <v>0</v>
      </c>
      <c r="BC64" s="20">
        <f t="shared" si="12"/>
        <v>57</v>
      </c>
      <c r="BD64" s="51">
        <f t="shared" si="13"/>
        <v>0.99999999999999989</v>
      </c>
      <c r="BE64" s="52"/>
    </row>
    <row r="65" spans="2:57" x14ac:dyDescent="0.2">
      <c r="B65" s="20">
        <f t="shared" si="8"/>
        <v>57</v>
      </c>
      <c r="C65" s="44">
        <v>1.304E-2</v>
      </c>
      <c r="D65" s="45">
        <v>8.2500000000000004E-3</v>
      </c>
      <c r="E65" s="45">
        <v>9.4699999999999993E-3</v>
      </c>
      <c r="F65" s="45">
        <v>6.522E-3</v>
      </c>
      <c r="G65" s="45">
        <f>(M65*($G$4+$H$2)+$G$5*O65)*(IF(B65&gt;=Age,$G$1*VLOOKUP('Q-Rates'!B65-Age+1,'Q-Rates'!$BC$8:$BD$128,2,0),1))</f>
        <v>7.4843999999999996E-3</v>
      </c>
      <c r="H65" s="45">
        <f>(N65*($H$4+$H$2)+$H$5*P65)*(IF(B65&gt;=Age,$G$1*VLOOKUP('Q-Rates'!B65-Age+1,'Q-Rates'!$BC$8:$BD$128,2,0),1))</f>
        <v>5.3909999999999991E-3</v>
      </c>
      <c r="I65" s="45">
        <f t="shared" si="14"/>
        <v>9.9240000000000005E-4</v>
      </c>
      <c r="J65" s="45">
        <f t="shared" si="9"/>
        <v>4.2240000000000002E-4</v>
      </c>
      <c r="K65" s="45">
        <f>(S65*$K$5)*(IF(B65&gt;=Age,$K$1*VLOOKUP('Q-Rates'!B65-Age+1,'Q-Rates'!$BC$8:$BD$128,2,0),1))</f>
        <v>2.9987999999999998E-3</v>
      </c>
      <c r="L65" s="45">
        <f>(T65*$L$5)*(IF(B65&gt;=Age,$L$1*VLOOKUP('Q-Rates'!B65-Age+1,'Q-Rates'!$BC$8:$BD$128,2,0),1))</f>
        <v>1.5084E-3</v>
      </c>
      <c r="M65" s="45">
        <f>RI!Y43/1000</f>
        <v>6.7400000000000003E-3</v>
      </c>
      <c r="N65" s="45">
        <f>RI!Z43/1000</f>
        <v>4.8060000000000004E-3</v>
      </c>
      <c r="O65" s="45">
        <f>RI!AB43/1000</f>
        <v>1.1820000000000001E-3</v>
      </c>
      <c r="P65" s="45">
        <f>RI!AC43/1000</f>
        <v>8.8800000000000001E-4</v>
      </c>
      <c r="Q65" s="45">
        <f>RI!AE43/1000</f>
        <v>9.9240000000000005E-4</v>
      </c>
      <c r="R65" s="45">
        <f>RI!AF43/1000</f>
        <v>4.2240000000000002E-4</v>
      </c>
      <c r="S65" s="45">
        <f>RI!AH43/1000</f>
        <v>2.6656000000000002E-3</v>
      </c>
      <c r="T65" s="45">
        <f>RI!AI43/1000</f>
        <v>1.3408000000000003E-3</v>
      </c>
      <c r="U65" s="45"/>
      <c r="V65" s="45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7">
        <v>0</v>
      </c>
      <c r="AO65" s="20">
        <f t="shared" si="10"/>
        <v>58</v>
      </c>
      <c r="AP65" s="48">
        <v>0</v>
      </c>
      <c r="AQ65" s="49">
        <v>0.1</v>
      </c>
      <c r="AR65" s="49">
        <f>IF($AO65&gt;[1]Basic!$D$29,0,VLOOKUP(MIN($AO65,6),[1]Specs!$Q$5:$R$11,2,0))</f>
        <v>0</v>
      </c>
      <c r="AS65" s="49">
        <v>0.08</v>
      </c>
      <c r="AT65" s="50">
        <f t="shared" si="2"/>
        <v>0</v>
      </c>
      <c r="AV65" s="20">
        <f t="shared" si="11"/>
        <v>58</v>
      </c>
      <c r="AW65" s="51">
        <f t="shared" si="15"/>
        <v>0</v>
      </c>
      <c r="AX65" s="23">
        <f t="shared" si="16"/>
        <v>0.1</v>
      </c>
      <c r="AY65" s="23">
        <f t="shared" si="17"/>
        <v>0</v>
      </c>
      <c r="AZ65" s="23">
        <f t="shared" si="18"/>
        <v>0.08</v>
      </c>
      <c r="BA65" s="52">
        <f t="shared" si="19"/>
        <v>0</v>
      </c>
      <c r="BC65" s="20">
        <f t="shared" si="12"/>
        <v>58</v>
      </c>
      <c r="BD65" s="51">
        <f t="shared" si="13"/>
        <v>0.99999999999999989</v>
      </c>
      <c r="BE65" s="52"/>
    </row>
    <row r="66" spans="2:57" x14ac:dyDescent="0.2">
      <c r="B66" s="20">
        <f t="shared" si="8"/>
        <v>58</v>
      </c>
      <c r="C66" s="44">
        <v>1.418E-2</v>
      </c>
      <c r="D66" s="45">
        <v>8.6999999999999994E-3</v>
      </c>
      <c r="E66" s="45">
        <v>1.0616E-2</v>
      </c>
      <c r="F66" s="45">
        <v>7.0939999999999996E-3</v>
      </c>
      <c r="G66" s="45">
        <f>(M66*($G$4+$H$2)+$G$5*O66)*(IF(B66&gt;=Age,$G$1*VLOOKUP('Q-Rates'!B66-Age+1,'Q-Rates'!$BC$8:$BD$128,2,0),1))</f>
        <v>8.3201999999999981E-3</v>
      </c>
      <c r="H66" s="45">
        <f>(N66*($H$4+$H$2)+$H$5*P66)*(IF(B66&gt;=Age,$G$1*VLOOKUP('Q-Rates'!B66-Age+1,'Q-Rates'!$BC$8:$BD$128,2,0),1))</f>
        <v>5.9687999999999989E-3</v>
      </c>
      <c r="I66" s="45">
        <f t="shared" si="14"/>
        <v>1.0583999999999999E-3</v>
      </c>
      <c r="J66" s="45">
        <f t="shared" si="9"/>
        <v>4.284E-4</v>
      </c>
      <c r="K66" s="45">
        <f>(S66*$K$5)*(IF(B66&gt;=Age,$K$1*VLOOKUP('Q-Rates'!B66-Age+1,'Q-Rates'!$BC$8:$BD$128,2,0),1))</f>
        <v>2.8889999999999996E-3</v>
      </c>
      <c r="L66" s="45">
        <f>(T66*$L$5)*(IF(B66&gt;=Age,$L$1*VLOOKUP('Q-Rates'!B66-Age+1,'Q-Rates'!$BC$8:$BD$128,2,0),1))</f>
        <v>1.3949999999999998E-3</v>
      </c>
      <c r="M66" s="45">
        <f>RI!Y44/1000</f>
        <v>7.4819999999999999E-3</v>
      </c>
      <c r="N66" s="45">
        <f>RI!Z44/1000</f>
        <v>5.3439999999999998E-3</v>
      </c>
      <c r="O66" s="45">
        <f>RI!AB44/1000</f>
        <v>1.322E-3</v>
      </c>
      <c r="P66" s="45">
        <f>RI!AC44/1000</f>
        <v>9.6599999999999995E-4</v>
      </c>
      <c r="Q66" s="45">
        <f>RI!AE44/1000</f>
        <v>1.0583999999999999E-3</v>
      </c>
      <c r="R66" s="45">
        <f>RI!AF44/1000</f>
        <v>4.284E-4</v>
      </c>
      <c r="S66" s="45">
        <f>RI!AH44/1000</f>
        <v>2.568E-3</v>
      </c>
      <c r="T66" s="45">
        <f>RI!AI44/1000</f>
        <v>1.24E-3</v>
      </c>
      <c r="U66" s="45"/>
      <c r="V66" s="45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>
        <v>0</v>
      </c>
      <c r="AO66" s="20">
        <f t="shared" si="10"/>
        <v>59</v>
      </c>
      <c r="AP66" s="48">
        <v>0</v>
      </c>
      <c r="AQ66" s="49">
        <v>0.1</v>
      </c>
      <c r="AR66" s="49">
        <f>IF($AO66&gt;[1]Basic!$D$29,0,VLOOKUP(MIN($AO66,6),[1]Specs!$Q$5:$R$11,2,0))</f>
        <v>0</v>
      </c>
      <c r="AS66" s="49">
        <v>0.08</v>
      </c>
      <c r="AT66" s="50">
        <f t="shared" si="2"/>
        <v>0</v>
      </c>
      <c r="AV66" s="20">
        <f t="shared" si="11"/>
        <v>59</v>
      </c>
      <c r="AW66" s="51">
        <f t="shared" si="15"/>
        <v>0</v>
      </c>
      <c r="AX66" s="23">
        <f t="shared" si="16"/>
        <v>0.1</v>
      </c>
      <c r="AY66" s="23">
        <f t="shared" si="17"/>
        <v>0</v>
      </c>
      <c r="AZ66" s="23">
        <f t="shared" si="18"/>
        <v>0.08</v>
      </c>
      <c r="BA66" s="52">
        <f t="shared" si="19"/>
        <v>0</v>
      </c>
      <c r="BC66" s="20">
        <f t="shared" si="12"/>
        <v>59</v>
      </c>
      <c r="BD66" s="51">
        <f t="shared" si="13"/>
        <v>0.99999999999999989</v>
      </c>
      <c r="BE66" s="52"/>
    </row>
    <row r="67" spans="2:57" x14ac:dyDescent="0.2">
      <c r="B67" s="20">
        <f t="shared" si="8"/>
        <v>59</v>
      </c>
      <c r="C67" s="44">
        <v>1.542E-2</v>
      </c>
      <c r="D67" s="45">
        <v>9.1999999999999998E-3</v>
      </c>
      <c r="E67" s="45">
        <v>1.1878E-2</v>
      </c>
      <c r="F67" s="45">
        <v>7.7000000000000002E-3</v>
      </c>
      <c r="G67" s="45">
        <f>(M67*($G$4+$H$2)+$G$5*O67)*(IF(B67&gt;=Age,$G$1*VLOOKUP('Q-Rates'!B67-Age+1,'Q-Rates'!$BC$8:$BD$128,2,0),1))</f>
        <v>9.1925999999999987E-3</v>
      </c>
      <c r="H67" s="45">
        <f>(N67*($H$4+$H$2)+$H$5*P67)*(IF(B67&gt;=Age,$G$1*VLOOKUP('Q-Rates'!B67-Age+1,'Q-Rates'!$BC$8:$BD$128,2,0),1))</f>
        <v>6.6611999999999999E-3</v>
      </c>
      <c r="I67" s="45">
        <f t="shared" si="14"/>
        <v>1.1183999999999999E-3</v>
      </c>
      <c r="J67" s="45">
        <f t="shared" si="9"/>
        <v>4.3439999999999999E-4</v>
      </c>
      <c r="K67" s="45">
        <f>(S67*$K$5)*(IF(B67&gt;=Age,$K$1*VLOOKUP('Q-Rates'!B67-Age+1,'Q-Rates'!$BC$8:$BD$128,2,0),1))</f>
        <v>2.7521999999999998E-3</v>
      </c>
      <c r="L67" s="45">
        <f>(T67*$L$5)*(IF(B67&gt;=Age,$L$1*VLOOKUP('Q-Rates'!B67-Age+1,'Q-Rates'!$BC$8:$BD$128,2,0),1))</f>
        <v>1.2743999999999998E-3</v>
      </c>
      <c r="M67" s="45">
        <f>RI!Y45/1000</f>
        <v>8.2539999999999992E-3</v>
      </c>
      <c r="N67" s="45">
        <f>RI!Z45/1000</f>
        <v>5.9319999999999998E-3</v>
      </c>
      <c r="O67" s="45">
        <f>RI!AB45/1000</f>
        <v>1.4700000000000002E-3</v>
      </c>
      <c r="P67" s="45">
        <f>RI!AC45/1000</f>
        <v>1.1020000000000001E-3</v>
      </c>
      <c r="Q67" s="45">
        <f>RI!AE45/1000</f>
        <v>1.1183999999999999E-3</v>
      </c>
      <c r="R67" s="45">
        <f>RI!AF45/1000</f>
        <v>4.3439999999999999E-4</v>
      </c>
      <c r="S67" s="45">
        <f>RI!AH45/1000</f>
        <v>2.4464000000000001E-3</v>
      </c>
      <c r="T67" s="45">
        <f>RI!AI45/1000</f>
        <v>1.1328E-3</v>
      </c>
      <c r="U67" s="45"/>
      <c r="V67" s="45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7">
        <v>0</v>
      </c>
      <c r="AO67" s="20">
        <f t="shared" si="10"/>
        <v>60</v>
      </c>
      <c r="AP67" s="48">
        <v>0</v>
      </c>
      <c r="AQ67" s="49">
        <v>0.1</v>
      </c>
      <c r="AR67" s="49">
        <f>IF($AO67&gt;[1]Basic!$D$29,0,VLOOKUP(MIN($AO67,6),[1]Specs!$Q$5:$R$11,2,0))</f>
        <v>0</v>
      </c>
      <c r="AS67" s="49">
        <v>0.08</v>
      </c>
      <c r="AT67" s="50">
        <f t="shared" si="2"/>
        <v>0</v>
      </c>
      <c r="AV67" s="20">
        <f t="shared" si="11"/>
        <v>60</v>
      </c>
      <c r="AW67" s="51">
        <f t="shared" si="15"/>
        <v>0</v>
      </c>
      <c r="AX67" s="23">
        <f t="shared" si="16"/>
        <v>0.1</v>
      </c>
      <c r="AY67" s="23">
        <f t="shared" si="17"/>
        <v>0</v>
      </c>
      <c r="AZ67" s="23">
        <f t="shared" si="18"/>
        <v>0.08</v>
      </c>
      <c r="BA67" s="52">
        <f t="shared" si="19"/>
        <v>0</v>
      </c>
      <c r="BC67" s="20">
        <f t="shared" si="12"/>
        <v>60</v>
      </c>
      <c r="BD67" s="51">
        <f t="shared" si="13"/>
        <v>0.99999999999999989</v>
      </c>
      <c r="BE67" s="52"/>
    </row>
    <row r="68" spans="2:57" x14ac:dyDescent="0.2">
      <c r="B68" s="20">
        <f t="shared" si="8"/>
        <v>60</v>
      </c>
      <c r="C68" s="44">
        <v>1.6799999999999999E-2</v>
      </c>
      <c r="D68" s="45">
        <v>9.7999999999999997E-3</v>
      </c>
      <c r="E68" s="45">
        <v>1.3323999999999999E-2</v>
      </c>
      <c r="F68" s="45">
        <v>8.352E-3</v>
      </c>
      <c r="G68" s="45">
        <f>(M68*($G$4+$H$2)+$G$5*O68)*(IF(B68&gt;=Age,$G$1*VLOOKUP('Q-Rates'!B68-Age+1,'Q-Rates'!$BC$8:$BD$128,2,0),1))</f>
        <v>1.0344599999999999E-2</v>
      </c>
      <c r="H68" s="45">
        <f>(N68*($H$4+$H$2)+$H$5*P68)*(IF(B68&gt;=Age,$G$1*VLOOKUP('Q-Rates'!B68-Age+1,'Q-Rates'!$BC$8:$BD$128,2,0),1))</f>
        <v>7.4417999999999993E-3</v>
      </c>
      <c r="I68" s="45">
        <f t="shared" si="14"/>
        <v>1.1903999999999999E-3</v>
      </c>
      <c r="J68" s="45">
        <f t="shared" si="9"/>
        <v>4.4640000000000001E-4</v>
      </c>
      <c r="K68" s="45">
        <f>(S68*$K$5)*(IF(B68&gt;=Age,$K$1*VLOOKUP('Q-Rates'!B68-Age+1,'Q-Rates'!$BC$8:$BD$128,2,0),1))</f>
        <v>2.5973999999999997E-3</v>
      </c>
      <c r="L68" s="45">
        <f>(T68*$L$5)*(IF(B68&gt;=Age,$L$1*VLOOKUP('Q-Rates'!B68-Age+1,'Q-Rates'!$BC$8:$BD$128,2,0),1))</f>
        <v>1.1429999999999997E-3</v>
      </c>
      <c r="M68" s="45">
        <f>RI!Y46/1000</f>
        <v>9.2860000000000009E-3</v>
      </c>
      <c r="N68" s="45">
        <f>RI!Z46/1000</f>
        <v>6.6099999999999996E-3</v>
      </c>
      <c r="O68" s="45">
        <f>RI!AB46/1000</f>
        <v>1.6560000000000001E-3</v>
      </c>
      <c r="P68" s="45">
        <f>RI!AC46/1000</f>
        <v>1.2440000000000003E-3</v>
      </c>
      <c r="Q68" s="45">
        <f>RI!AE46/1000</f>
        <v>1.1903999999999999E-3</v>
      </c>
      <c r="R68" s="45">
        <f>RI!AF46/1000</f>
        <v>4.4640000000000001E-4</v>
      </c>
      <c r="S68" s="45">
        <f>RI!AH46/1000</f>
        <v>2.3088000000000002E-3</v>
      </c>
      <c r="T68" s="45">
        <f>RI!AI46/1000</f>
        <v>1.016E-3</v>
      </c>
      <c r="U68" s="45"/>
      <c r="V68" s="45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7">
        <v>0</v>
      </c>
      <c r="AO68" s="20">
        <f t="shared" si="10"/>
        <v>61</v>
      </c>
      <c r="AP68" s="48">
        <v>0</v>
      </c>
      <c r="AQ68" s="49">
        <v>0.1</v>
      </c>
      <c r="AR68" s="49">
        <f>IF($AO68&gt;[1]Basic!$D$29,0,VLOOKUP(MIN($AO68,6),[1]Specs!$Q$5:$R$11,2,0))</f>
        <v>0</v>
      </c>
      <c r="AS68" s="49">
        <v>0.08</v>
      </c>
      <c r="AT68" s="50">
        <f t="shared" si="2"/>
        <v>0</v>
      </c>
      <c r="AV68" s="20">
        <f t="shared" si="11"/>
        <v>61</v>
      </c>
      <c r="AW68" s="51">
        <f t="shared" si="15"/>
        <v>0</v>
      </c>
      <c r="AX68" s="23">
        <f t="shared" si="16"/>
        <v>0.1</v>
      </c>
      <c r="AY68" s="23">
        <f t="shared" si="17"/>
        <v>0</v>
      </c>
      <c r="AZ68" s="23">
        <f t="shared" si="18"/>
        <v>0.08</v>
      </c>
      <c r="BA68" s="52">
        <f t="shared" si="19"/>
        <v>0</v>
      </c>
      <c r="BC68" s="20">
        <f t="shared" si="12"/>
        <v>61</v>
      </c>
      <c r="BD68" s="51">
        <f t="shared" si="13"/>
        <v>0.99999999999999989</v>
      </c>
      <c r="BE68" s="52"/>
    </row>
    <row r="69" spans="2:57" x14ac:dyDescent="0.2">
      <c r="B69" s="20">
        <f t="shared" si="8"/>
        <v>61</v>
      </c>
      <c r="C69" s="44">
        <v>1.8360000000000001E-2</v>
      </c>
      <c r="D69" s="45">
        <v>1.0540000000000001E-2</v>
      </c>
      <c r="E69" s="45">
        <v>1.4908000000000001E-2</v>
      </c>
      <c r="F69" s="45">
        <v>9.1079999999999998E-3</v>
      </c>
      <c r="G69" s="45">
        <f>(M69*($G$4+$H$2)+$G$5*O69)*(IF(B69&gt;=Age,$G$1*VLOOKUP('Q-Rates'!B69-Age+1,'Q-Rates'!$BC$8:$BD$128,2,0),1))</f>
        <v>1.1559599999999998E-2</v>
      </c>
      <c r="H69" s="45">
        <f>(N69*($H$4+$H$2)+$H$5*P69)*(IF(B69&gt;=Age,$G$1*VLOOKUP('Q-Rates'!B69-Age+1,'Q-Rates'!$BC$8:$BD$128,2,0),1))</f>
        <v>8.2535999999999981E-3</v>
      </c>
      <c r="I69" s="45">
        <f t="shared" si="14"/>
        <v>1.2744E-3</v>
      </c>
      <c r="J69" s="45">
        <f t="shared" si="9"/>
        <v>4.5840000000000003E-4</v>
      </c>
      <c r="K69" s="45">
        <f>(S69*$K$5)*(IF(B69&gt;=Age,$K$1*VLOOKUP('Q-Rates'!B69-Age+1,'Q-Rates'!$BC$8:$BD$128,2,0),1))</f>
        <v>2.4029999999999998E-3</v>
      </c>
      <c r="L69" s="45">
        <f>(T69*$L$5)*(IF(B69&gt;=Age,$L$1*VLOOKUP('Q-Rates'!B69-Age+1,'Q-Rates'!$BC$8:$BD$128,2,0),1))</f>
        <v>1.0169999999999997E-3</v>
      </c>
      <c r="M69" s="45">
        <f>RI!Y47/1000</f>
        <v>1.0451999999999999E-2</v>
      </c>
      <c r="N69" s="45">
        <f>RI!Z47/1000</f>
        <v>7.3759999999999997E-3</v>
      </c>
      <c r="O69" s="45">
        <f>RI!AB47/1000</f>
        <v>1.794E-3</v>
      </c>
      <c r="P69" s="45">
        <f>RI!AC47/1000</f>
        <v>1.3460000000000002E-3</v>
      </c>
      <c r="Q69" s="45">
        <f>RI!AE47/1000</f>
        <v>1.2744E-3</v>
      </c>
      <c r="R69" s="45">
        <f>RI!AF47/1000</f>
        <v>4.5840000000000003E-4</v>
      </c>
      <c r="S69" s="45">
        <f>RI!AH47/1000</f>
        <v>2.1360000000000003E-3</v>
      </c>
      <c r="T69" s="45">
        <f>RI!AI47/1000</f>
        <v>9.0399999999999996E-4</v>
      </c>
      <c r="U69" s="45"/>
      <c r="V69" s="45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>
        <v>0</v>
      </c>
      <c r="AO69" s="20">
        <f t="shared" si="10"/>
        <v>62</v>
      </c>
      <c r="AP69" s="48">
        <v>0</v>
      </c>
      <c r="AQ69" s="49">
        <v>0.1</v>
      </c>
      <c r="AR69" s="49">
        <f>IF($AO69&gt;[1]Basic!$D$29,0,VLOOKUP(MIN($AO69,6),[1]Specs!$Q$5:$R$11,2,0))</f>
        <v>0</v>
      </c>
      <c r="AS69" s="49">
        <v>0.08</v>
      </c>
      <c r="AT69" s="50">
        <f t="shared" si="2"/>
        <v>0</v>
      </c>
      <c r="AV69" s="20">
        <f t="shared" si="11"/>
        <v>62</v>
      </c>
      <c r="AW69" s="51">
        <f t="shared" si="15"/>
        <v>0</v>
      </c>
      <c r="AX69" s="23">
        <f t="shared" si="16"/>
        <v>0.1</v>
      </c>
      <c r="AY69" s="23">
        <f t="shared" si="17"/>
        <v>0</v>
      </c>
      <c r="AZ69" s="23">
        <f t="shared" si="18"/>
        <v>0.08</v>
      </c>
      <c r="BA69" s="52">
        <f t="shared" si="19"/>
        <v>0</v>
      </c>
      <c r="BC69" s="20">
        <f t="shared" si="12"/>
        <v>62</v>
      </c>
      <c r="BD69" s="51">
        <f t="shared" si="13"/>
        <v>0.99999999999999989</v>
      </c>
      <c r="BE69" s="52"/>
    </row>
    <row r="70" spans="2:57" x14ac:dyDescent="0.2">
      <c r="B70" s="20">
        <f t="shared" si="8"/>
        <v>62</v>
      </c>
      <c r="C70" s="44">
        <v>2.0119999999999999E-2</v>
      </c>
      <c r="D70" s="45">
        <v>1.149E-2</v>
      </c>
      <c r="E70" s="45">
        <v>1.6660000000000001E-2</v>
      </c>
      <c r="F70" s="45">
        <v>9.9639999999999989E-3</v>
      </c>
      <c r="G70" s="45">
        <f>(M70*($G$4+$H$2)+$G$5*O70)*(IF(B70&gt;=Age,$G$1*VLOOKUP('Q-Rates'!B70-Age+1,'Q-Rates'!$BC$8:$BD$128,2,0),1))</f>
        <v>1.2878999999999998E-2</v>
      </c>
      <c r="H70" s="45">
        <f>(N70*($H$4+$H$2)+$H$5*P70)*(IF(B70&gt;=Age,$G$1*VLOOKUP('Q-Rates'!B70-Age+1,'Q-Rates'!$BC$8:$BD$128,2,0),1))</f>
        <v>9.1277999999999984E-3</v>
      </c>
      <c r="I70" s="45">
        <f t="shared" si="14"/>
        <v>1.3704000000000001E-3</v>
      </c>
      <c r="J70" s="45">
        <f t="shared" si="9"/>
        <v>4.7040000000000005E-4</v>
      </c>
      <c r="K70" s="45">
        <f>(S70*$K$5)*(IF(B70&gt;=Age,$K$1*VLOOKUP('Q-Rates'!B70-Age+1,'Q-Rates'!$BC$8:$BD$128,2,0),1))</f>
        <v>2.1977999999999998E-3</v>
      </c>
      <c r="L70" s="45">
        <f>(T70*$L$5)*(IF(B70&gt;=Age,$L$1*VLOOKUP('Q-Rates'!B70-Age+1,'Q-Rates'!$BC$8:$BD$128,2,0),1))</f>
        <v>9.8280000000000004E-4</v>
      </c>
      <c r="M70" s="45">
        <f>RI!Y48/1000</f>
        <v>1.1717999999999999E-2</v>
      </c>
      <c r="N70" s="45">
        <f>RI!Z48/1000</f>
        <v>8.1980000000000004E-3</v>
      </c>
      <c r="O70" s="45">
        <f>RI!AB48/1000</f>
        <v>1.944E-3</v>
      </c>
      <c r="P70" s="45">
        <f>RI!AC48/1000</f>
        <v>1.4579999999999999E-3</v>
      </c>
      <c r="Q70" s="45">
        <f>RI!AE48/1000</f>
        <v>1.3704000000000001E-3</v>
      </c>
      <c r="R70" s="45">
        <f>RI!AF48/1000</f>
        <v>4.7040000000000005E-4</v>
      </c>
      <c r="S70" s="45">
        <f>RI!AH48/1000</f>
        <v>1.9536000000000002E-3</v>
      </c>
      <c r="T70" s="45">
        <f>RI!AI48/1000</f>
        <v>8.736000000000002E-4</v>
      </c>
      <c r="U70" s="45"/>
      <c r="V70" s="45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7">
        <v>0</v>
      </c>
      <c r="AO70" s="20">
        <f t="shared" si="10"/>
        <v>63</v>
      </c>
      <c r="AP70" s="48">
        <v>0</v>
      </c>
      <c r="AQ70" s="49">
        <v>0.1</v>
      </c>
      <c r="AR70" s="49">
        <f>IF($AO70&gt;[1]Basic!$D$29,0,VLOOKUP(MIN($AO70,6),[1]Specs!$Q$5:$R$11,2,0))</f>
        <v>0</v>
      </c>
      <c r="AS70" s="49">
        <v>0.08</v>
      </c>
      <c r="AT70" s="50">
        <f t="shared" si="2"/>
        <v>0</v>
      </c>
      <c r="AV70" s="20">
        <f t="shared" si="11"/>
        <v>63</v>
      </c>
      <c r="AW70" s="51">
        <f t="shared" si="15"/>
        <v>0</v>
      </c>
      <c r="AX70" s="23">
        <f t="shared" si="16"/>
        <v>0.1</v>
      </c>
      <c r="AY70" s="23">
        <f t="shared" si="17"/>
        <v>0</v>
      </c>
      <c r="AZ70" s="23">
        <f t="shared" si="18"/>
        <v>0.08</v>
      </c>
      <c r="BA70" s="52">
        <f t="shared" si="19"/>
        <v>0</v>
      </c>
      <c r="BC70" s="20">
        <f t="shared" si="12"/>
        <v>63</v>
      </c>
      <c r="BD70" s="51">
        <f t="shared" si="13"/>
        <v>0.99999999999999989</v>
      </c>
      <c r="BE70" s="52"/>
    </row>
    <row r="71" spans="2:57" x14ac:dyDescent="0.2">
      <c r="B71" s="20">
        <f t="shared" si="8"/>
        <v>63</v>
      </c>
      <c r="C71" s="44">
        <v>2.2089999999999999E-2</v>
      </c>
      <c r="D71" s="45">
        <v>1.2630000000000001E-2</v>
      </c>
      <c r="E71" s="45">
        <v>1.8537999999999999E-2</v>
      </c>
      <c r="F71" s="45">
        <v>1.1048000000000002E-2</v>
      </c>
      <c r="G71" s="45">
        <f>(M71*($G$4+$H$2)+$G$5*O71)*(IF(B71&gt;=Age,$G$1*VLOOKUP('Q-Rates'!B71-Age+1,'Q-Rates'!$BC$8:$BD$128,2,0),1))</f>
        <v>1.4330999999999998E-2</v>
      </c>
      <c r="H71" s="45">
        <f>(N71*($H$4+$H$2)+$H$5*P71)*(IF(B71&gt;=Age,$G$1*VLOOKUP('Q-Rates'!B71-Age+1,'Q-Rates'!$BC$8:$BD$128,2,0),1))</f>
        <v>1.0090199999999999E-2</v>
      </c>
      <c r="I71" s="45">
        <f t="shared" si="14"/>
        <v>1.4724E-3</v>
      </c>
      <c r="J71" s="45">
        <f t="shared" si="9"/>
        <v>4.8840000000000005E-4</v>
      </c>
      <c r="K71" s="45">
        <f>(S71*$K$5)*(IF(B71&gt;=Age,$K$1*VLOOKUP('Q-Rates'!B71-Age+1,'Q-Rates'!$BC$8:$BD$128,2,0),1))</f>
        <v>1.9835999999999994E-3</v>
      </c>
      <c r="L71" s="45">
        <f>(T71*$L$5)*(IF(B71&gt;=Age,$L$1*VLOOKUP('Q-Rates'!B71-Age+1,'Q-Rates'!$BC$8:$BD$128,2,0),1))</f>
        <v>9.1439999999999989E-4</v>
      </c>
      <c r="M71" s="45">
        <f>RI!Y49/1000</f>
        <v>1.311E-2</v>
      </c>
      <c r="N71" s="45">
        <f>RI!Z49/1000</f>
        <v>9.1020000000000007E-3</v>
      </c>
      <c r="O71" s="45">
        <f>RI!AB49/1000</f>
        <v>2.1100000000000003E-3</v>
      </c>
      <c r="P71" s="45">
        <f>RI!AC49/1000</f>
        <v>1.5819999999999999E-3</v>
      </c>
      <c r="Q71" s="45">
        <f>RI!AE49/1000</f>
        <v>1.4724E-3</v>
      </c>
      <c r="R71" s="45">
        <f>RI!AF49/1000</f>
        <v>4.8840000000000005E-4</v>
      </c>
      <c r="S71" s="45">
        <f>RI!AH49/1000</f>
        <v>1.7631999999999999E-3</v>
      </c>
      <c r="T71" s="45">
        <f>RI!AI49/1000</f>
        <v>8.1280000000000002E-4</v>
      </c>
      <c r="U71" s="45"/>
      <c r="V71" s="45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7">
        <v>0</v>
      </c>
      <c r="AO71" s="20">
        <f t="shared" si="10"/>
        <v>64</v>
      </c>
      <c r="AP71" s="48">
        <v>0</v>
      </c>
      <c r="AQ71" s="49">
        <v>0.1</v>
      </c>
      <c r="AR71" s="49">
        <f>IF($AO71&gt;[1]Basic!$D$29,0,VLOOKUP(MIN($AO71,6),[1]Specs!$Q$5:$R$11,2,0))</f>
        <v>0</v>
      </c>
      <c r="AS71" s="49">
        <v>0.08</v>
      </c>
      <c r="AT71" s="50">
        <f t="shared" si="2"/>
        <v>0</v>
      </c>
      <c r="AV71" s="20">
        <f t="shared" si="11"/>
        <v>64</v>
      </c>
      <c r="AW71" s="51">
        <f t="shared" si="15"/>
        <v>0</v>
      </c>
      <c r="AX71" s="23">
        <f t="shared" si="16"/>
        <v>0.1</v>
      </c>
      <c r="AY71" s="23">
        <f t="shared" si="17"/>
        <v>0</v>
      </c>
      <c r="AZ71" s="23">
        <f t="shared" si="18"/>
        <v>0.08</v>
      </c>
      <c r="BA71" s="52">
        <f t="shared" si="19"/>
        <v>0</v>
      </c>
      <c r="BC71" s="20">
        <f t="shared" si="12"/>
        <v>64</v>
      </c>
      <c r="BD71" s="51">
        <f t="shared" si="13"/>
        <v>0.99999999999999989</v>
      </c>
      <c r="BE71" s="52"/>
    </row>
    <row r="72" spans="2:57" x14ac:dyDescent="0.2">
      <c r="B72" s="20">
        <f t="shared" si="8"/>
        <v>64</v>
      </c>
      <c r="C72" s="44">
        <v>2.427E-2</v>
      </c>
      <c r="D72" s="45">
        <v>1.392E-2</v>
      </c>
      <c r="E72" s="45">
        <v>2.0567999999999999E-2</v>
      </c>
      <c r="F72" s="45">
        <v>1.2195999999999999E-2</v>
      </c>
      <c r="G72" s="45">
        <f>(M72*($G$4+$H$2)+$G$5*O72)*(IF(B72&gt;=Age,$G$1*VLOOKUP('Q-Rates'!B72-Age+1,'Q-Rates'!$BC$8:$BD$128,2,0),1))</f>
        <v>1.5910799999999996E-2</v>
      </c>
      <c r="H72" s="45">
        <f>(N72*($H$4+$H$2)+$H$5*P72)*(IF(B72&gt;=Age,$G$1*VLOOKUP('Q-Rates'!B72-Age+1,'Q-Rates'!$BC$8:$BD$128,2,0),1))</f>
        <v>1.11222E-2</v>
      </c>
      <c r="I72" s="45">
        <f t="shared" si="14"/>
        <v>1.6044E-3</v>
      </c>
      <c r="J72" s="45">
        <f t="shared" si="9"/>
        <v>5.1840000000000002E-4</v>
      </c>
      <c r="K72" s="45">
        <f>(S72*$K$5)*(IF(B72&gt;=Age,$K$1*VLOOKUP('Q-Rates'!B72-Age+1,'Q-Rates'!$BC$8:$BD$128,2,0),1))</f>
        <v>1.9565999999999997E-3</v>
      </c>
      <c r="L72" s="45">
        <f>(T72*$L$5)*(IF(B72&gt;=Age,$L$1*VLOOKUP('Q-Rates'!B72-Age+1,'Q-Rates'!$BC$8:$BD$128,2,0),1))</f>
        <v>8.4599999999999986E-4</v>
      </c>
      <c r="M72" s="45">
        <f>RI!Y50/1000</f>
        <v>1.4628E-2</v>
      </c>
      <c r="N72" s="45">
        <f>RI!Z50/1000</f>
        <v>1.0070000000000001E-2</v>
      </c>
      <c r="O72" s="45">
        <f>RI!AB50/1000</f>
        <v>2.2880000000000001E-3</v>
      </c>
      <c r="P72" s="45">
        <f>RI!AC50/1000</f>
        <v>1.7160000000000003E-3</v>
      </c>
      <c r="Q72" s="45">
        <f>RI!AE50/1000</f>
        <v>1.6044E-3</v>
      </c>
      <c r="R72" s="45">
        <f>RI!AF50/1000</f>
        <v>5.1840000000000002E-4</v>
      </c>
      <c r="S72" s="45">
        <f>RI!AH50/1000</f>
        <v>1.7392E-3</v>
      </c>
      <c r="T72" s="45">
        <f>RI!AI50/1000</f>
        <v>7.5199999999999996E-4</v>
      </c>
      <c r="U72" s="45"/>
      <c r="V72" s="45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7">
        <v>0</v>
      </c>
      <c r="AO72" s="20">
        <f t="shared" si="10"/>
        <v>65</v>
      </c>
      <c r="AP72" s="48">
        <v>0</v>
      </c>
      <c r="AQ72" s="49">
        <v>0.1</v>
      </c>
      <c r="AR72" s="49">
        <f>IF($AO72&gt;[1]Basic!$D$29,0,VLOOKUP(MIN($AO72,6),[1]Specs!$Q$5:$R$11,2,0))</f>
        <v>0</v>
      </c>
      <c r="AS72" s="49">
        <v>0.08</v>
      </c>
      <c r="AT72" s="50">
        <f t="shared" ref="AT72:AT128" si="20">IF(AO72&gt;PolicyTerm-2,0,3%)</f>
        <v>0</v>
      </c>
      <c r="AV72" s="20">
        <f t="shared" si="11"/>
        <v>65</v>
      </c>
      <c r="AW72" s="51">
        <f t="shared" ref="AW72:AW103" si="21">AP72*Lapse_Sens</f>
        <v>0</v>
      </c>
      <c r="AX72" s="23">
        <f t="shared" ref="AX72:AX103" si="22">AQ72*Lapse_Sens</f>
        <v>0.1</v>
      </c>
      <c r="AY72" s="23">
        <f t="shared" ref="AY72:AY103" si="23">AR72*Lapse_Sens</f>
        <v>0</v>
      </c>
      <c r="AZ72" s="23">
        <f t="shared" ref="AZ72:AZ103" si="24">AS72*Lapse_Sens</f>
        <v>0.08</v>
      </c>
      <c r="BA72" s="52">
        <f t="shared" ref="BA72:BA103" si="25">AT72*Lapse_Sens</f>
        <v>0</v>
      </c>
      <c r="BC72" s="20">
        <f t="shared" si="12"/>
        <v>65</v>
      </c>
      <c r="BD72" s="51">
        <f t="shared" si="13"/>
        <v>0.99999999999999989</v>
      </c>
      <c r="BE72" s="52"/>
    </row>
    <row r="73" spans="2:57" x14ac:dyDescent="0.2">
      <c r="B73" s="20">
        <f t="shared" ref="B73:B128" si="26">B72+1</f>
        <v>65</v>
      </c>
      <c r="C73" s="44">
        <v>2.6620000000000001E-2</v>
      </c>
      <c r="D73" s="45">
        <v>1.529E-2</v>
      </c>
      <c r="E73" s="45">
        <v>2.2738000000000001E-2</v>
      </c>
      <c r="F73" s="45">
        <v>1.3403999999999999E-2</v>
      </c>
      <c r="G73" s="45">
        <f>(M73*($G$4+$H$2)+$G$5*O73)*(IF(B73&gt;=Age,$G$1*VLOOKUP('Q-Rates'!B73-Age+1,'Q-Rates'!$BC$8:$BD$128,2,0),1))</f>
        <v>1.7651999999999994E-2</v>
      </c>
      <c r="H73" s="45">
        <f>(N73*($H$4+$H$2)+$H$5*P73)*(IF(B73&gt;=Age,$G$1*VLOOKUP('Q-Rates'!B73-Age+1,'Q-Rates'!$BC$8:$BD$128,2,0),1))</f>
        <v>1.2419399999999999E-2</v>
      </c>
      <c r="I73" s="45">
        <f t="shared" si="14"/>
        <v>1.6764000000000002E-3</v>
      </c>
      <c r="J73" s="45">
        <f t="shared" ref="J73:J128" si="27">(R73*$J$5)</f>
        <v>5.3640000000000003E-4</v>
      </c>
      <c r="K73" s="45">
        <f>(S73*$K$5)*(IF(B73&gt;=Age,$K$1*VLOOKUP('Q-Rates'!B73-Age+1,'Q-Rates'!$BC$8:$BD$128,2,0),1))</f>
        <v>2.0429999999999992E-3</v>
      </c>
      <c r="L73" s="45">
        <f>(T73*$L$5)*(IF(B73&gt;=Age,$L$1*VLOOKUP('Q-Rates'!B73-Age+1,'Q-Rates'!$BC$8:$BD$128,2,0),1))</f>
        <v>7.7039999999999997E-4</v>
      </c>
      <c r="M73" s="45">
        <f>RI!Y51/1000</f>
        <v>1.6207999999999997E-2</v>
      </c>
      <c r="N73" s="45">
        <f>RI!Z51/1000</f>
        <v>1.125E-2</v>
      </c>
      <c r="O73" s="45">
        <f>RI!AB51/1000</f>
        <v>2.5539999999999998E-3</v>
      </c>
      <c r="P73" s="45">
        <f>RI!AC51/1000</f>
        <v>1.9119999999999999E-3</v>
      </c>
      <c r="Q73" s="45">
        <f>RI!AE51/1000</f>
        <v>1.6764000000000002E-3</v>
      </c>
      <c r="R73" s="45">
        <f>RI!AF51/1000</f>
        <v>5.3640000000000003E-4</v>
      </c>
      <c r="S73" s="45">
        <f>RI!AH51/1000</f>
        <v>1.8159999999999999E-3</v>
      </c>
      <c r="T73" s="45">
        <f>RI!AI51/1000</f>
        <v>6.8480000000000006E-4</v>
      </c>
      <c r="U73" s="45"/>
      <c r="V73" s="45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7">
        <v>0</v>
      </c>
      <c r="AO73" s="20">
        <f t="shared" ref="AO73:AO128" si="28">AO72+1</f>
        <v>66</v>
      </c>
      <c r="AP73" s="48">
        <v>0</v>
      </c>
      <c r="AQ73" s="49">
        <v>0.1</v>
      </c>
      <c r="AR73" s="49">
        <f>IF($AO73&gt;[1]Basic!$D$29,0,VLOOKUP(MIN($AO73,6),[1]Specs!$Q$5:$R$11,2,0))</f>
        <v>0</v>
      </c>
      <c r="AS73" s="49">
        <v>0.08</v>
      </c>
      <c r="AT73" s="50">
        <f t="shared" si="20"/>
        <v>0</v>
      </c>
      <c r="AV73" s="20">
        <f t="shared" ref="AV73:AV128" si="29">AV72+1</f>
        <v>66</v>
      </c>
      <c r="AW73" s="51">
        <f t="shared" si="21"/>
        <v>0</v>
      </c>
      <c r="AX73" s="23">
        <f t="shared" si="22"/>
        <v>0.1</v>
      </c>
      <c r="AY73" s="23">
        <f t="shared" si="23"/>
        <v>0</v>
      </c>
      <c r="AZ73" s="23">
        <f t="shared" si="24"/>
        <v>0.08</v>
      </c>
      <c r="BA73" s="52">
        <f t="shared" si="25"/>
        <v>0</v>
      </c>
      <c r="BC73" s="20">
        <f t="shared" ref="BC73:BC128" si="30">BC72+1</f>
        <v>66</v>
      </c>
      <c r="BD73" s="51">
        <f t="shared" si="13"/>
        <v>0.99999999999999989</v>
      </c>
      <c r="BE73" s="52"/>
    </row>
    <row r="74" spans="2:57" x14ac:dyDescent="0.2">
      <c r="B74" s="20">
        <f t="shared" si="26"/>
        <v>66</v>
      </c>
      <c r="C74" s="44">
        <v>2.913E-2</v>
      </c>
      <c r="D74" s="45">
        <v>1.6709999999999999E-2</v>
      </c>
      <c r="E74" s="45">
        <v>2.5073999999999999E-2</v>
      </c>
      <c r="F74" s="45">
        <v>1.4641999999999999E-2</v>
      </c>
      <c r="G74" s="45">
        <f>(M74*($G$4+$H$2)+$G$5*O74)*(IF(B74&gt;=Age,$G$1*VLOOKUP('Q-Rates'!B74-Age+1,'Q-Rates'!$BC$8:$BD$128,2,0),1))</f>
        <v>1.9512599999999998E-2</v>
      </c>
      <c r="H74" s="45">
        <f>(N74*($H$4+$H$2)+$H$5*P74)*(IF(B74&gt;=Age,$G$1*VLOOKUP('Q-Rates'!B74-Age+1,'Q-Rates'!$BC$8:$BD$128,2,0),1))</f>
        <v>1.3773599999999999E-2</v>
      </c>
      <c r="I74" s="45">
        <f t="shared" si="14"/>
        <v>1.7543999999999999E-3</v>
      </c>
      <c r="J74" s="45">
        <f t="shared" si="27"/>
        <v>5.7240000000000004E-4</v>
      </c>
      <c r="K74" s="45">
        <f>(S74*$K$5)*(IF(B74&gt;=Age,$K$1*VLOOKUP('Q-Rates'!B74-Age+1,'Q-Rates'!$BC$8:$BD$128,2,0),1))</f>
        <v>2.2157999999999991E-3</v>
      </c>
      <c r="L74" s="45">
        <f>(T74*$L$5)*(IF(B74&gt;=Age,$L$1*VLOOKUP('Q-Rates'!B74-Age+1,'Q-Rates'!$BC$8:$BD$128,2,0),1))</f>
        <v>7.6679999999999999E-4</v>
      </c>
      <c r="M74" s="45">
        <f>RI!Y52/1000</f>
        <v>1.7926000000000001E-2</v>
      </c>
      <c r="N74" s="45">
        <f>RI!Z52/1000</f>
        <v>1.2504000000000001E-2</v>
      </c>
      <c r="O74" s="45">
        <f>RI!AB52/1000</f>
        <v>2.8159999999999999E-3</v>
      </c>
      <c r="P74" s="45">
        <f>RI!AC52/1000</f>
        <v>2.1000000000000003E-3</v>
      </c>
      <c r="Q74" s="45">
        <f>RI!AE52/1000</f>
        <v>1.7543999999999999E-3</v>
      </c>
      <c r="R74" s="45">
        <f>RI!AF52/1000</f>
        <v>5.7240000000000004E-4</v>
      </c>
      <c r="S74" s="45">
        <f>RI!AH52/1000</f>
        <v>1.9695999999999997E-3</v>
      </c>
      <c r="T74" s="45">
        <f>RI!AI52/1000</f>
        <v>6.8160000000000009E-4</v>
      </c>
      <c r="U74" s="45"/>
      <c r="V74" s="45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7">
        <v>0</v>
      </c>
      <c r="AO74" s="20">
        <f t="shared" si="28"/>
        <v>67</v>
      </c>
      <c r="AP74" s="48">
        <v>0</v>
      </c>
      <c r="AQ74" s="49">
        <v>0.1</v>
      </c>
      <c r="AR74" s="49">
        <f>IF($AO74&gt;[1]Basic!$D$29,0,VLOOKUP(MIN($AO74,6),[1]Specs!$Q$5:$R$11,2,0))</f>
        <v>0</v>
      </c>
      <c r="AS74" s="49">
        <v>0.08</v>
      </c>
      <c r="AT74" s="50">
        <f t="shared" si="20"/>
        <v>0</v>
      </c>
      <c r="AV74" s="20">
        <f t="shared" si="29"/>
        <v>67</v>
      </c>
      <c r="AW74" s="51">
        <f t="shared" si="21"/>
        <v>0</v>
      </c>
      <c r="AX74" s="23">
        <f t="shared" si="22"/>
        <v>0.1</v>
      </c>
      <c r="AY74" s="23">
        <f t="shared" si="23"/>
        <v>0</v>
      </c>
      <c r="AZ74" s="23">
        <f t="shared" si="24"/>
        <v>0.08</v>
      </c>
      <c r="BA74" s="52">
        <f t="shared" si="25"/>
        <v>0</v>
      </c>
      <c r="BC74" s="20">
        <f t="shared" si="30"/>
        <v>67</v>
      </c>
      <c r="BD74" s="51">
        <f t="shared" si="13"/>
        <v>0.99999999999999989</v>
      </c>
      <c r="BE74" s="52"/>
    </row>
    <row r="75" spans="2:57" x14ac:dyDescent="0.2">
      <c r="B75" s="20">
        <f t="shared" si="26"/>
        <v>67</v>
      </c>
      <c r="C75" s="44">
        <v>3.1789999999999999E-2</v>
      </c>
      <c r="D75" s="45">
        <v>1.813E-2</v>
      </c>
      <c r="E75" s="45">
        <v>2.7532000000000004E-2</v>
      </c>
      <c r="F75" s="45">
        <v>1.5938000000000001E-2</v>
      </c>
      <c r="G75" s="45">
        <f>(M75*($G$4+$H$2)+$G$5*O75)*(IF(B75&gt;=Age,$G$1*VLOOKUP('Q-Rates'!B75-Age+1,'Q-Rates'!$BC$8:$BD$128,2,0),1))</f>
        <v>2.1537599999999997E-2</v>
      </c>
      <c r="H75" s="45">
        <f>(N75*($H$4+$H$2)+$H$5*P75)*(IF(B75&gt;=Age,$G$1*VLOOKUP('Q-Rates'!B75-Age+1,'Q-Rates'!$BC$8:$BD$128,2,0),1))</f>
        <v>1.5230999999999998E-2</v>
      </c>
      <c r="I75" s="45">
        <f t="shared" si="14"/>
        <v>1.8323999999999999E-3</v>
      </c>
      <c r="J75" s="45">
        <f t="shared" si="27"/>
        <v>6.0840000000000004E-4</v>
      </c>
      <c r="K75" s="45">
        <f>(S75*$K$5)*(IF(B75&gt;=Age,$K$1*VLOOKUP('Q-Rates'!B75-Age+1,'Q-Rates'!$BC$8:$BD$128,2,0),1))</f>
        <v>2.4101999999999995E-3</v>
      </c>
      <c r="L75" s="45">
        <f>(T75*$L$5)*(IF(B75&gt;=Age,$L$1*VLOOKUP('Q-Rates'!B75-Age+1,'Q-Rates'!$BC$8:$BD$128,2,0),1))</f>
        <v>7.8120000000000012E-4</v>
      </c>
      <c r="M75" s="45">
        <f>RI!Y53/1000</f>
        <v>1.9768000000000001E-2</v>
      </c>
      <c r="N75" s="45">
        <f>RI!Z53/1000</f>
        <v>1.3814E-2</v>
      </c>
      <c r="O75" s="45">
        <f>RI!AB53/1000</f>
        <v>3.1219999999999998E-3</v>
      </c>
      <c r="P75" s="45">
        <f>RI!AC53/1000</f>
        <v>2.3319999999999999E-3</v>
      </c>
      <c r="Q75" s="45">
        <f>RI!AE53/1000</f>
        <v>1.8323999999999999E-3</v>
      </c>
      <c r="R75" s="45">
        <f>RI!AF53/1000</f>
        <v>6.0840000000000004E-4</v>
      </c>
      <c r="S75" s="45">
        <f>RI!AH53/1000</f>
        <v>2.1424E-3</v>
      </c>
      <c r="T75" s="45">
        <f>RI!AI53/1000</f>
        <v>6.9440000000000018E-4</v>
      </c>
      <c r="U75" s="45"/>
      <c r="V75" s="45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7">
        <v>0</v>
      </c>
      <c r="AO75" s="20">
        <f t="shared" si="28"/>
        <v>68</v>
      </c>
      <c r="AP75" s="48">
        <v>0</v>
      </c>
      <c r="AQ75" s="49">
        <v>0.1</v>
      </c>
      <c r="AR75" s="49">
        <f>IF($AO75&gt;[1]Basic!$D$29,0,VLOOKUP(MIN($AO75,6),[1]Specs!$Q$5:$R$11,2,0))</f>
        <v>0</v>
      </c>
      <c r="AS75" s="49">
        <v>0.08</v>
      </c>
      <c r="AT75" s="50">
        <f t="shared" si="20"/>
        <v>0</v>
      </c>
      <c r="AV75" s="20">
        <f t="shared" si="29"/>
        <v>68</v>
      </c>
      <c r="AW75" s="51">
        <f t="shared" si="21"/>
        <v>0</v>
      </c>
      <c r="AX75" s="23">
        <f t="shared" si="22"/>
        <v>0.1</v>
      </c>
      <c r="AY75" s="23">
        <f t="shared" si="23"/>
        <v>0</v>
      </c>
      <c r="AZ75" s="23">
        <f t="shared" si="24"/>
        <v>0.08</v>
      </c>
      <c r="BA75" s="52">
        <f t="shared" si="25"/>
        <v>0</v>
      </c>
      <c r="BC75" s="20">
        <f t="shared" si="30"/>
        <v>68</v>
      </c>
      <c r="BD75" s="51">
        <f t="shared" si="13"/>
        <v>0.99999999999999989</v>
      </c>
      <c r="BE75" s="52"/>
    </row>
    <row r="76" spans="2:57" x14ac:dyDescent="0.2">
      <c r="B76" s="20">
        <f t="shared" si="26"/>
        <v>68</v>
      </c>
      <c r="C76" s="44">
        <v>3.465E-2</v>
      </c>
      <c r="D76" s="45">
        <v>1.959E-2</v>
      </c>
      <c r="E76" s="45">
        <v>3.0082000000000001E-2</v>
      </c>
      <c r="F76" s="45">
        <v>1.7488E-2</v>
      </c>
      <c r="G76" s="45">
        <f>(M76*($G$4+$H$2)+$G$5*O76)*(IF(B76&gt;=Age,$G$1*VLOOKUP('Q-Rates'!B76-Age+1,'Q-Rates'!$BC$8:$BD$128,2,0),1))</f>
        <v>2.3749199999999995E-2</v>
      </c>
      <c r="H76" s="45">
        <f>(N76*($H$4+$H$2)+$H$5*P76)*(IF(B76&gt;=Age,$G$1*VLOOKUP('Q-Rates'!B76-Age+1,'Q-Rates'!$BC$8:$BD$128,2,0),1))</f>
        <v>1.6770599999999997E-2</v>
      </c>
      <c r="I76" s="45">
        <f t="shared" si="14"/>
        <v>1.9104E-3</v>
      </c>
      <c r="J76" s="45">
        <f t="shared" si="27"/>
        <v>6.5040000000000009E-4</v>
      </c>
      <c r="K76" s="45">
        <f>(S76*$K$5)*(IF(B76&gt;=Age,$K$1*VLOOKUP('Q-Rates'!B76-Age+1,'Q-Rates'!$BC$8:$BD$128,2,0),1))</f>
        <v>2.6369999999999996E-3</v>
      </c>
      <c r="L76" s="45">
        <f>(T76*$L$5)*(IF(B76&gt;=Age,$L$1*VLOOKUP('Q-Rates'!B76-Age+1,'Q-Rates'!$BC$8:$BD$128,2,0),1))</f>
        <v>7.9199999999999984E-4</v>
      </c>
      <c r="M76" s="45">
        <f>RI!Y54/1000</f>
        <v>2.1747999999999997E-2</v>
      </c>
      <c r="N76" s="45">
        <f>RI!Z54/1000</f>
        <v>1.5178000000000001E-2</v>
      </c>
      <c r="O76" s="45">
        <f>RI!AB54/1000</f>
        <v>3.48E-3</v>
      </c>
      <c r="P76" s="45">
        <f>RI!AC54/1000</f>
        <v>2.5920000000000006E-3</v>
      </c>
      <c r="Q76" s="45">
        <f>RI!AE54/1000</f>
        <v>1.9104E-3</v>
      </c>
      <c r="R76" s="45">
        <f>RI!AF54/1000</f>
        <v>6.5040000000000009E-4</v>
      </c>
      <c r="S76" s="45">
        <f>RI!AH54/1000</f>
        <v>2.3440000000000002E-3</v>
      </c>
      <c r="T76" s="45">
        <f>RI!AI54/1000</f>
        <v>7.0399999999999998E-4</v>
      </c>
      <c r="U76" s="45"/>
      <c r="V76" s="45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7">
        <v>0</v>
      </c>
      <c r="AO76" s="20">
        <f t="shared" si="28"/>
        <v>69</v>
      </c>
      <c r="AP76" s="48">
        <v>0</v>
      </c>
      <c r="AQ76" s="49">
        <v>0.1</v>
      </c>
      <c r="AR76" s="49">
        <f>IF($AO76&gt;[1]Basic!$D$29,0,VLOOKUP(MIN($AO76,6),[1]Specs!$Q$5:$R$11,2,0))</f>
        <v>0</v>
      </c>
      <c r="AS76" s="49">
        <v>0.08</v>
      </c>
      <c r="AT76" s="50">
        <f t="shared" si="20"/>
        <v>0</v>
      </c>
      <c r="AV76" s="20">
        <f t="shared" si="29"/>
        <v>69</v>
      </c>
      <c r="AW76" s="51">
        <f t="shared" si="21"/>
        <v>0</v>
      </c>
      <c r="AX76" s="23">
        <f t="shared" si="22"/>
        <v>0.1</v>
      </c>
      <c r="AY76" s="23">
        <f t="shared" si="23"/>
        <v>0</v>
      </c>
      <c r="AZ76" s="23">
        <f t="shared" si="24"/>
        <v>0.08</v>
      </c>
      <c r="BA76" s="52">
        <f t="shared" si="25"/>
        <v>0</v>
      </c>
      <c r="BC76" s="20">
        <f t="shared" si="30"/>
        <v>69</v>
      </c>
      <c r="BD76" s="51">
        <f t="shared" si="13"/>
        <v>0.99999999999999989</v>
      </c>
      <c r="BE76" s="52"/>
    </row>
    <row r="77" spans="2:57" x14ac:dyDescent="0.2">
      <c r="B77" s="20">
        <f t="shared" si="26"/>
        <v>69</v>
      </c>
      <c r="C77" s="44">
        <v>3.7810000000000003E-2</v>
      </c>
      <c r="D77" s="45">
        <v>2.1229999999999999E-2</v>
      </c>
      <c r="E77" s="45">
        <v>3.2829999999999998E-2</v>
      </c>
      <c r="F77" s="45">
        <v>1.9230000000000004E-2</v>
      </c>
      <c r="G77" s="45">
        <f>(M77*($G$4+$H$2)+$G$5*O77)*(IF(B77&gt;=Age,$G$1*VLOOKUP('Q-Rates'!B77-Age+1,'Q-Rates'!$BC$8:$BD$128,2,0),1))</f>
        <v>2.6172599999999997E-2</v>
      </c>
      <c r="H77" s="45">
        <f>(N77*($H$4+$H$2)+$H$5*P77)*(IF(B77&gt;=Age,$G$1*VLOOKUP('Q-Rates'!B77-Age+1,'Q-Rates'!$BC$8:$BD$128,2,0),1))</f>
        <v>1.8437399999999996E-2</v>
      </c>
      <c r="I77" s="45">
        <f t="shared" si="14"/>
        <v>1.9944000000000003E-3</v>
      </c>
      <c r="J77" s="45">
        <f t="shared" si="27"/>
        <v>6.9240000000000002E-4</v>
      </c>
      <c r="K77" s="45">
        <f>(S77*$K$5)*(IF(B77&gt;=Age,$K$1*VLOOKUP('Q-Rates'!B77-Age+1,'Q-Rates'!$BC$8:$BD$128,2,0),1))</f>
        <v>2.9249999999999992E-3</v>
      </c>
      <c r="L77" s="45">
        <f>(T77*$L$5)*(IF(B77&gt;=Age,$L$1*VLOOKUP('Q-Rates'!B77-Age+1,'Q-Rates'!$BC$8:$BD$128,2,0),1))</f>
        <v>8.208E-4</v>
      </c>
      <c r="M77" s="45">
        <f>RI!Y55/1000</f>
        <v>2.3878E-2</v>
      </c>
      <c r="N77" s="45">
        <f>RI!Z55/1000</f>
        <v>1.6614E-2</v>
      </c>
      <c r="O77" s="45">
        <f>RI!AB55/1000</f>
        <v>3.9020000000000001E-3</v>
      </c>
      <c r="P77" s="45">
        <f>RI!AC55/1000</f>
        <v>2.9039999999999999E-3</v>
      </c>
      <c r="Q77" s="45">
        <f>RI!AE55/1000</f>
        <v>1.9944000000000003E-3</v>
      </c>
      <c r="R77" s="45">
        <f>RI!AF55/1000</f>
        <v>6.9240000000000002E-4</v>
      </c>
      <c r="S77" s="45">
        <f>RI!AH55/1000</f>
        <v>2.5999999999999999E-3</v>
      </c>
      <c r="T77" s="45">
        <f>RI!AI55/1000</f>
        <v>7.2960000000000006E-4</v>
      </c>
      <c r="U77" s="45"/>
      <c r="V77" s="45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7">
        <v>0</v>
      </c>
      <c r="AO77" s="20">
        <f t="shared" si="28"/>
        <v>70</v>
      </c>
      <c r="AP77" s="48">
        <v>0</v>
      </c>
      <c r="AQ77" s="49">
        <v>0.1</v>
      </c>
      <c r="AR77" s="49">
        <f>IF($AO77&gt;[1]Basic!$D$29,0,VLOOKUP(MIN($AO77,6),[1]Specs!$Q$5:$R$11,2,0))</f>
        <v>0</v>
      </c>
      <c r="AS77" s="49">
        <v>0.08</v>
      </c>
      <c r="AT77" s="50">
        <f t="shared" si="20"/>
        <v>0</v>
      </c>
      <c r="AV77" s="20">
        <f t="shared" si="29"/>
        <v>70</v>
      </c>
      <c r="AW77" s="51">
        <f t="shared" si="21"/>
        <v>0</v>
      </c>
      <c r="AX77" s="23">
        <f t="shared" si="22"/>
        <v>0.1</v>
      </c>
      <c r="AY77" s="23">
        <f t="shared" si="23"/>
        <v>0</v>
      </c>
      <c r="AZ77" s="23">
        <f t="shared" si="24"/>
        <v>0.08</v>
      </c>
      <c r="BA77" s="52">
        <f t="shared" si="25"/>
        <v>0</v>
      </c>
      <c r="BC77" s="20">
        <f t="shared" si="30"/>
        <v>70</v>
      </c>
      <c r="BD77" s="51">
        <f t="shared" si="13"/>
        <v>0.99999999999999989</v>
      </c>
      <c r="BE77" s="52"/>
    </row>
    <row r="78" spans="2:57" x14ac:dyDescent="0.2">
      <c r="B78" s="20">
        <f t="shared" si="26"/>
        <v>70</v>
      </c>
      <c r="C78" s="44">
        <v>4.1369999999999997E-2</v>
      </c>
      <c r="D78" s="45">
        <v>2.316E-2</v>
      </c>
      <c r="E78" s="45">
        <v>3.5453999999999999E-2</v>
      </c>
      <c r="F78" s="45">
        <v>2.1242E-2</v>
      </c>
      <c r="G78" s="45">
        <f>(M78*($G$4+$H$2)+$G$5*O78)*(IF(B78&gt;=Age,$G$1*VLOOKUP('Q-Rates'!B78-Age+1,'Q-Rates'!$BC$8:$BD$128,2,0),1))</f>
        <v>2.8754399999999999E-2</v>
      </c>
      <c r="H78" s="45">
        <f>(N78*($H$4+$H$2)+$H$5*P78)*(IF(B78&gt;=Age,$G$1*VLOOKUP('Q-Rates'!B78-Age+1,'Q-Rates'!$BC$8:$BD$128,2,0),1))</f>
        <v>2.0374199999999999E-2</v>
      </c>
      <c r="I78" s="45">
        <f t="shared" si="14"/>
        <v>2.0844000000000001E-3</v>
      </c>
      <c r="J78" s="45">
        <f t="shared" si="27"/>
        <v>7.4040000000000011E-4</v>
      </c>
      <c r="K78" s="45">
        <f>(S78*$K$5)*(IF(B78&gt;=Age,$K$1*VLOOKUP('Q-Rates'!B78-Age+1,'Q-Rates'!$BC$8:$BD$128,2,0),1))</f>
        <v>3.3354000000000001E-3</v>
      </c>
      <c r="L78" s="45">
        <f>(T78*$L$5)*(IF(B78&gt;=Age,$L$1*VLOOKUP('Q-Rates'!B78-Age+1,'Q-Rates'!$BC$8:$BD$128,2,0),1))</f>
        <v>8.7299999999999986E-4</v>
      </c>
      <c r="M78" s="45">
        <f>RI!Y56/1000</f>
        <v>2.6096000000000001E-2</v>
      </c>
      <c r="N78" s="45">
        <f>RI!Z56/1000</f>
        <v>1.8286E-2</v>
      </c>
      <c r="O78" s="45">
        <f>RI!AB56/1000</f>
        <v>4.3900000000000007E-3</v>
      </c>
      <c r="P78" s="45">
        <f>RI!AC56/1000</f>
        <v>3.2640000000000004E-3</v>
      </c>
      <c r="Q78" s="45">
        <f>RI!AE56/1000</f>
        <v>2.0844000000000001E-3</v>
      </c>
      <c r="R78" s="45">
        <f>RI!AF56/1000</f>
        <v>7.4040000000000011E-4</v>
      </c>
      <c r="S78" s="45">
        <f>RI!AH56/1000</f>
        <v>2.9648000000000005E-3</v>
      </c>
      <c r="T78" s="45">
        <f>RI!AI56/1000</f>
        <v>7.76E-4</v>
      </c>
      <c r="U78" s="45"/>
      <c r="V78" s="45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7">
        <v>0</v>
      </c>
      <c r="AO78" s="20">
        <f t="shared" si="28"/>
        <v>71</v>
      </c>
      <c r="AP78" s="48">
        <v>0</v>
      </c>
      <c r="AQ78" s="49">
        <v>0.1</v>
      </c>
      <c r="AR78" s="49">
        <f>IF($AO78&gt;[1]Basic!$D$29,0,VLOOKUP(MIN($AO78,6),[1]Specs!$Q$5:$R$11,2,0))</f>
        <v>0</v>
      </c>
      <c r="AS78" s="49">
        <v>0.08</v>
      </c>
      <c r="AT78" s="50">
        <f t="shared" si="20"/>
        <v>0</v>
      </c>
      <c r="AV78" s="20">
        <f t="shared" si="29"/>
        <v>71</v>
      </c>
      <c r="AW78" s="51">
        <f t="shared" si="21"/>
        <v>0</v>
      </c>
      <c r="AX78" s="23">
        <f t="shared" si="22"/>
        <v>0.1</v>
      </c>
      <c r="AY78" s="23">
        <f t="shared" si="23"/>
        <v>0</v>
      </c>
      <c r="AZ78" s="23">
        <f t="shared" si="24"/>
        <v>0.08</v>
      </c>
      <c r="BA78" s="52">
        <f t="shared" si="25"/>
        <v>0</v>
      </c>
      <c r="BC78" s="20">
        <f t="shared" si="30"/>
        <v>71</v>
      </c>
      <c r="BD78" s="51">
        <f t="shared" si="13"/>
        <v>0.99999999999999989</v>
      </c>
      <c r="BE78" s="52"/>
    </row>
    <row r="79" spans="2:57" x14ac:dyDescent="0.2">
      <c r="B79" s="20">
        <f t="shared" si="26"/>
        <v>71</v>
      </c>
      <c r="C79" s="44">
        <v>4.5429999999999998E-2</v>
      </c>
      <c r="D79" s="45">
        <v>2.5530000000000001E-2</v>
      </c>
      <c r="E79" s="45">
        <v>3.8322000000000002E-2</v>
      </c>
      <c r="F79" s="45">
        <v>2.3582000000000002E-2</v>
      </c>
      <c r="G79" s="45">
        <f>(M79*($G$4+$H$2)+$G$5*O79)*(IF(B79&gt;=Age,$G$1*VLOOKUP('Q-Rates'!B79-Age+1,'Q-Rates'!$BC$8:$BD$128,2,0),1))</f>
        <v>3.1275599999999994E-2</v>
      </c>
      <c r="H79" s="45">
        <f>(N79*($H$4+$H$2)+$H$5*P79)*(IF(B79&gt;=Age,$G$1*VLOOKUP('Q-Rates'!B79-Age+1,'Q-Rates'!$BC$8:$BD$128,2,0),1))</f>
        <v>2.24082E-2</v>
      </c>
      <c r="I79" s="45">
        <f t="shared" si="14"/>
        <v>2.1804000000000003E-3</v>
      </c>
      <c r="J79" s="45">
        <f t="shared" si="27"/>
        <v>7.9440000000000001E-4</v>
      </c>
      <c r="K79" s="45">
        <f>(S79*$K$5)*(IF(B79&gt;=Age,$K$1*VLOOKUP('Q-Rates'!B79-Age+1,'Q-Rates'!$BC$8:$BD$128,2,0),1))</f>
        <v>3.8016E-3</v>
      </c>
      <c r="L79" s="45">
        <f>(T79*$L$5)*(IF(B79&gt;=Age,$L$1*VLOOKUP('Q-Rates'!B79-Age+1,'Q-Rates'!$BC$8:$BD$128,2,0),1))</f>
        <v>9.6119999999999995E-4</v>
      </c>
      <c r="M79" s="45">
        <f>RI!Y57/1000</f>
        <v>2.8140000000000002E-2</v>
      </c>
      <c r="N79" s="45">
        <f>RI!Z57/1000</f>
        <v>1.9978000000000003E-2</v>
      </c>
      <c r="O79" s="45">
        <f>RI!AB57/1000</f>
        <v>4.9580000000000006E-3</v>
      </c>
      <c r="P79" s="45">
        <f>RI!AC57/1000</f>
        <v>3.6900000000000006E-3</v>
      </c>
      <c r="Q79" s="45">
        <f>RI!AE57/1000</f>
        <v>2.1804000000000003E-3</v>
      </c>
      <c r="R79" s="45">
        <f>RI!AF57/1000</f>
        <v>7.9440000000000001E-4</v>
      </c>
      <c r="S79" s="45">
        <f>RI!AH57/1000</f>
        <v>3.3792000000000006E-3</v>
      </c>
      <c r="T79" s="45">
        <f>RI!AI57/1000</f>
        <v>8.5440000000000006E-4</v>
      </c>
      <c r="U79" s="45"/>
      <c r="V79" s="45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7">
        <v>0</v>
      </c>
      <c r="AO79" s="20">
        <f t="shared" si="28"/>
        <v>72</v>
      </c>
      <c r="AP79" s="48">
        <v>0</v>
      </c>
      <c r="AQ79" s="49">
        <v>0.1</v>
      </c>
      <c r="AR79" s="49">
        <f>IF($AO79&gt;[1]Basic!$D$29,0,VLOOKUP(MIN($AO79,6),[1]Specs!$Q$5:$R$11,2,0))</f>
        <v>0</v>
      </c>
      <c r="AS79" s="49">
        <v>0.08</v>
      </c>
      <c r="AT79" s="50">
        <f t="shared" si="20"/>
        <v>0</v>
      </c>
      <c r="AV79" s="20">
        <f t="shared" si="29"/>
        <v>72</v>
      </c>
      <c r="AW79" s="51">
        <f t="shared" si="21"/>
        <v>0</v>
      </c>
      <c r="AX79" s="23">
        <f t="shared" si="22"/>
        <v>0.1</v>
      </c>
      <c r="AY79" s="23">
        <f t="shared" si="23"/>
        <v>0</v>
      </c>
      <c r="AZ79" s="23">
        <f t="shared" si="24"/>
        <v>0.08</v>
      </c>
      <c r="BA79" s="52">
        <f t="shared" si="25"/>
        <v>0</v>
      </c>
      <c r="BC79" s="20">
        <f t="shared" si="30"/>
        <v>72</v>
      </c>
      <c r="BD79" s="51">
        <f t="shared" ref="BD79:BD128" si="31">BD78</f>
        <v>0.99999999999999989</v>
      </c>
      <c r="BE79" s="52"/>
    </row>
    <row r="80" spans="2:57" x14ac:dyDescent="0.2">
      <c r="B80" s="20">
        <f t="shared" si="26"/>
        <v>72</v>
      </c>
      <c r="C80" s="44">
        <v>5.008E-2</v>
      </c>
      <c r="D80" s="45">
        <v>2.8469999999999999E-2</v>
      </c>
      <c r="E80" s="45">
        <v>4.1507999999999996E-2</v>
      </c>
      <c r="F80" s="45">
        <v>2.6265999999999998E-2</v>
      </c>
      <c r="G80" s="45">
        <f>(M80*($G$4+$H$2)+$G$5*O80)*(IF(B80&gt;=Age,$G$1*VLOOKUP('Q-Rates'!B80-Age+1,'Q-Rates'!$BC$8:$BD$128,2,0),1))</f>
        <v>3.4097999999999996E-2</v>
      </c>
      <c r="H80" s="45">
        <f>(N80*($H$4+$H$2)+$H$5*P80)*(IF(B80&gt;=Age,$G$1*VLOOKUP('Q-Rates'!B80-Age+1,'Q-Rates'!$BC$8:$BD$128,2,0),1))</f>
        <v>2.4703800000000001E-2</v>
      </c>
      <c r="I80" s="45">
        <f t="shared" si="14"/>
        <v>2.2763999999999996E-3</v>
      </c>
      <c r="J80" s="45">
        <f t="shared" si="27"/>
        <v>8.5440000000000006E-4</v>
      </c>
      <c r="K80" s="45">
        <f>(S80*$K$5)*(IF(B80&gt;=Age,$K$1*VLOOKUP('Q-Rates'!B80-Age+1,'Q-Rates'!$BC$8:$BD$128,2,0),1))</f>
        <v>4.3091999999999991E-3</v>
      </c>
      <c r="L80" s="45">
        <f>(T80*$L$5)*(IF(B80&gt;=Age,$L$1*VLOOKUP('Q-Rates'!B80-Age+1,'Q-Rates'!$BC$8:$BD$128,2,0),1))</f>
        <v>1.0583999999999999E-3</v>
      </c>
      <c r="M80" s="45">
        <f>RI!Y58/1000</f>
        <v>3.0380000000000004E-2</v>
      </c>
      <c r="N80" s="45">
        <f>RI!Z58/1000</f>
        <v>2.1862000000000003E-2</v>
      </c>
      <c r="O80" s="45">
        <f>RI!AB58/1000</f>
        <v>5.6300000000000005E-3</v>
      </c>
      <c r="P80" s="45">
        <f>RI!AC58/1000</f>
        <v>4.1900000000000001E-3</v>
      </c>
      <c r="Q80" s="45">
        <f>RI!AE58/1000</f>
        <v>2.2763999999999996E-3</v>
      </c>
      <c r="R80" s="45">
        <f>RI!AF58/1000</f>
        <v>8.5440000000000006E-4</v>
      </c>
      <c r="S80" s="45">
        <f>RI!AH58/1000</f>
        <v>3.8304000000000003E-3</v>
      </c>
      <c r="T80" s="45">
        <f>RI!AI58/1000</f>
        <v>9.4080000000000021E-4</v>
      </c>
      <c r="U80" s="45"/>
      <c r="V80" s="45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7">
        <v>0</v>
      </c>
      <c r="AO80" s="20">
        <f t="shared" si="28"/>
        <v>73</v>
      </c>
      <c r="AP80" s="48">
        <v>0</v>
      </c>
      <c r="AQ80" s="49">
        <v>0.1</v>
      </c>
      <c r="AR80" s="49">
        <f>IF($AO80&gt;[1]Basic!$D$29,0,VLOOKUP(MIN($AO80,6),[1]Specs!$Q$5:$R$11,2,0))</f>
        <v>0</v>
      </c>
      <c r="AS80" s="49">
        <v>0.08</v>
      </c>
      <c r="AT80" s="50">
        <f t="shared" si="20"/>
        <v>0</v>
      </c>
      <c r="AV80" s="20">
        <f t="shared" si="29"/>
        <v>73</v>
      </c>
      <c r="AW80" s="51">
        <f t="shared" si="21"/>
        <v>0</v>
      </c>
      <c r="AX80" s="23">
        <f t="shared" si="22"/>
        <v>0.1</v>
      </c>
      <c r="AY80" s="23">
        <f t="shared" si="23"/>
        <v>0</v>
      </c>
      <c r="AZ80" s="23">
        <f t="shared" si="24"/>
        <v>0.08</v>
      </c>
      <c r="BA80" s="52">
        <f t="shared" si="25"/>
        <v>0</v>
      </c>
      <c r="BC80" s="20">
        <f t="shared" si="30"/>
        <v>73</v>
      </c>
      <c r="BD80" s="51">
        <f t="shared" si="31"/>
        <v>0.99999999999999989</v>
      </c>
      <c r="BE80" s="52"/>
    </row>
    <row r="81" spans="2:57" x14ac:dyDescent="0.2">
      <c r="B81" s="20">
        <f t="shared" si="26"/>
        <v>73</v>
      </c>
      <c r="C81" s="44">
        <v>5.534E-2</v>
      </c>
      <c r="D81" s="45">
        <v>3.1989999999999998E-2</v>
      </c>
      <c r="E81" s="45">
        <v>4.5048000000000005E-2</v>
      </c>
      <c r="F81" s="45">
        <v>2.9211999999999998E-2</v>
      </c>
      <c r="G81" s="45">
        <f>(M81*($G$4+$H$2)+$G$5*O81)*(IF(B81&gt;=Age,$G$1*VLOOKUP('Q-Rates'!B81-Age+1,'Q-Rates'!$BC$8:$BD$128,2,0),1))</f>
        <v>3.7270199999999996E-2</v>
      </c>
      <c r="H81" s="45">
        <f>(N81*($H$4+$H$2)+$H$5*P81)*(IF(B81&gt;=Age,$G$1*VLOOKUP('Q-Rates'!B81-Age+1,'Q-Rates'!$BC$8:$BD$128,2,0),1))</f>
        <v>2.7263399999999997E-2</v>
      </c>
      <c r="I81" s="45">
        <f t="shared" si="14"/>
        <v>2.3844000000000001E-3</v>
      </c>
      <c r="J81" s="45">
        <f t="shared" si="27"/>
        <v>9.2040000000000004E-4</v>
      </c>
      <c r="K81" s="45">
        <f>(S81*$K$5)*(IF(B81&gt;=Age,$K$1*VLOOKUP('Q-Rates'!B81-Age+1,'Q-Rates'!$BC$8:$BD$128,2,0),1))</f>
        <v>4.8347999999999993E-3</v>
      </c>
      <c r="L81" s="45">
        <f>(T81*$L$5)*(IF(B81&gt;=Age,$L$1*VLOOKUP('Q-Rates'!B81-Age+1,'Q-Rates'!$BC$8:$BD$128,2,0),1))</f>
        <v>1.1681999999999999E-3</v>
      </c>
      <c r="M81" s="45">
        <f>RI!Y59/1000</f>
        <v>3.2854000000000001E-2</v>
      </c>
      <c r="N81" s="45">
        <f>RI!Z59/1000</f>
        <v>2.393E-2</v>
      </c>
      <c r="O81" s="45">
        <f>RI!AB59/1000</f>
        <v>6.4180000000000001E-3</v>
      </c>
      <c r="P81" s="45">
        <f>RI!AC59/1000</f>
        <v>4.7720000000000002E-3</v>
      </c>
      <c r="Q81" s="45">
        <f>RI!AE59/1000</f>
        <v>2.3844000000000001E-3</v>
      </c>
      <c r="R81" s="45">
        <f>RI!AF59/1000</f>
        <v>9.2040000000000004E-4</v>
      </c>
      <c r="S81" s="45">
        <f>RI!AH59/1000</f>
        <v>4.2976000000000004E-3</v>
      </c>
      <c r="T81" s="45">
        <f>RI!AI59/1000</f>
        <v>1.0384000000000001E-3</v>
      </c>
      <c r="U81" s="45"/>
      <c r="V81" s="45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7">
        <v>0</v>
      </c>
      <c r="AO81" s="20">
        <f t="shared" si="28"/>
        <v>74</v>
      </c>
      <c r="AP81" s="48">
        <v>0</v>
      </c>
      <c r="AQ81" s="49">
        <v>0.1</v>
      </c>
      <c r="AR81" s="49">
        <f>IF($AO81&gt;[1]Basic!$D$29,0,VLOOKUP(MIN($AO81,6),[1]Specs!$Q$5:$R$11,2,0))</f>
        <v>0</v>
      </c>
      <c r="AS81" s="49">
        <v>0.08</v>
      </c>
      <c r="AT81" s="50">
        <f t="shared" si="20"/>
        <v>0</v>
      </c>
      <c r="AV81" s="20">
        <f t="shared" si="29"/>
        <v>74</v>
      </c>
      <c r="AW81" s="51">
        <f t="shared" si="21"/>
        <v>0</v>
      </c>
      <c r="AX81" s="23">
        <f t="shared" si="22"/>
        <v>0.1</v>
      </c>
      <c r="AY81" s="23">
        <f t="shared" si="23"/>
        <v>0</v>
      </c>
      <c r="AZ81" s="23">
        <f t="shared" si="24"/>
        <v>0.08</v>
      </c>
      <c r="BA81" s="52">
        <f t="shared" si="25"/>
        <v>0</v>
      </c>
      <c r="BC81" s="20">
        <f t="shared" si="30"/>
        <v>74</v>
      </c>
      <c r="BD81" s="51">
        <f t="shared" si="31"/>
        <v>0.99999999999999989</v>
      </c>
      <c r="BE81" s="52"/>
    </row>
    <row r="82" spans="2:57" x14ac:dyDescent="0.2">
      <c r="B82" s="20">
        <f t="shared" si="26"/>
        <v>74</v>
      </c>
      <c r="C82" s="44">
        <v>6.1100000000000002E-2</v>
      </c>
      <c r="D82" s="45">
        <v>3.6049999999999999E-2</v>
      </c>
      <c r="E82" s="45">
        <v>4.9093999999999999E-2</v>
      </c>
      <c r="F82" s="45">
        <v>3.2494000000000002E-2</v>
      </c>
      <c r="G82" s="45">
        <f>(M82*($G$4+$H$2)+$G$5*O82)*(IF(B82&gt;=Age,$G$1*VLOOKUP('Q-Rates'!B82-Age+1,'Q-Rates'!$BC$8:$BD$128,2,0),1))</f>
        <v>4.0884599999999993E-2</v>
      </c>
      <c r="H82" s="45">
        <f>(N82*($H$4+$H$2)+$H$5*P82)*(IF(B82&gt;=Age,$G$1*VLOOKUP('Q-Rates'!B82-Age+1,'Q-Rates'!$BC$8:$BD$128,2,0),1))</f>
        <v>3.0202799999999995E-2</v>
      </c>
      <c r="I82" s="45">
        <f t="shared" si="14"/>
        <v>2.4924000000000001E-3</v>
      </c>
      <c r="J82" s="45">
        <f t="shared" si="27"/>
        <v>9.8640000000000012E-4</v>
      </c>
      <c r="K82" s="45">
        <f>(S82*$K$5)*(IF(B82&gt;=Age,$K$1*VLOOKUP('Q-Rates'!B82-Age+1,'Q-Rates'!$BC$8:$BD$128,2,0),1))</f>
        <v>5.3999999999999994E-3</v>
      </c>
      <c r="L82" s="45">
        <f>(T82*$L$5)*(IF(B82&gt;=Age,$L$1*VLOOKUP('Q-Rates'!B82-Age+1,'Q-Rates'!$BC$8:$BD$128,2,0),1))</f>
        <v>1.2834000000000001E-3</v>
      </c>
      <c r="M82" s="45">
        <f>RI!Y60/1000</f>
        <v>3.5622000000000001E-2</v>
      </c>
      <c r="N82" s="45">
        <f>RI!Z60/1000</f>
        <v>2.6259999999999999E-2</v>
      </c>
      <c r="O82" s="45">
        <f>RI!AB60/1000</f>
        <v>7.3540000000000003E-3</v>
      </c>
      <c r="P82" s="45">
        <f>RI!AC60/1000</f>
        <v>5.4740000000000006E-3</v>
      </c>
      <c r="Q82" s="45">
        <f>RI!AE60/1000</f>
        <v>2.4924000000000001E-3</v>
      </c>
      <c r="R82" s="45">
        <f>RI!AF60/1000</f>
        <v>9.8640000000000012E-4</v>
      </c>
      <c r="S82" s="45">
        <f>RI!AH60/1000</f>
        <v>4.8000000000000004E-3</v>
      </c>
      <c r="T82" s="45">
        <f>RI!AI60/1000</f>
        <v>1.1408000000000002E-3</v>
      </c>
      <c r="U82" s="45"/>
      <c r="V82" s="45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7">
        <v>0</v>
      </c>
      <c r="AO82" s="20">
        <f t="shared" si="28"/>
        <v>75</v>
      </c>
      <c r="AP82" s="48">
        <v>0</v>
      </c>
      <c r="AQ82" s="49">
        <v>0.1</v>
      </c>
      <c r="AR82" s="49">
        <f>IF($AO82&gt;[1]Basic!$D$29,0,VLOOKUP(MIN($AO82,6),[1]Specs!$Q$5:$R$11,2,0))</f>
        <v>0</v>
      </c>
      <c r="AS82" s="49">
        <v>0.08</v>
      </c>
      <c r="AT82" s="50">
        <f t="shared" si="20"/>
        <v>0</v>
      </c>
      <c r="AV82" s="20">
        <f t="shared" si="29"/>
        <v>75</v>
      </c>
      <c r="AW82" s="51">
        <f t="shared" si="21"/>
        <v>0</v>
      </c>
      <c r="AX82" s="23">
        <f t="shared" si="22"/>
        <v>0.1</v>
      </c>
      <c r="AY82" s="23">
        <f t="shared" si="23"/>
        <v>0</v>
      </c>
      <c r="AZ82" s="23">
        <f t="shared" si="24"/>
        <v>0.08</v>
      </c>
      <c r="BA82" s="52">
        <f t="shared" si="25"/>
        <v>0</v>
      </c>
      <c r="BC82" s="20">
        <f t="shared" si="30"/>
        <v>75</v>
      </c>
      <c r="BD82" s="51">
        <f t="shared" si="31"/>
        <v>0.99999999999999989</v>
      </c>
      <c r="BE82" s="52"/>
    </row>
    <row r="83" spans="2:57" x14ac:dyDescent="0.2">
      <c r="B83" s="20">
        <f t="shared" si="26"/>
        <v>75</v>
      </c>
      <c r="C83" s="44">
        <v>6.7250000000000004E-2</v>
      </c>
      <c r="D83" s="45">
        <v>4.0559999999999999E-2</v>
      </c>
      <c r="E83" s="45">
        <v>5.3776000000000004E-2</v>
      </c>
      <c r="F83" s="45">
        <v>3.6128E-2</v>
      </c>
      <c r="G83" s="45">
        <f>(M83*($G$4+$H$2)+$G$5*O83)*(IF(B83&gt;=Age,$G$1*VLOOKUP('Q-Rates'!B83-Age+1,'Q-Rates'!$BC$8:$BD$128,2,0),1))</f>
        <v>4.4989799999999996E-2</v>
      </c>
      <c r="H83" s="45">
        <f>(N83*($H$4+$H$2)+$H$5*P83)*(IF(B83&gt;=Age,$G$1*VLOOKUP('Q-Rates'!B83-Age+1,'Q-Rates'!$BC$8:$BD$128,2,0),1))</f>
        <v>3.3474599999999993E-2</v>
      </c>
      <c r="I83" s="45">
        <f t="shared" si="14"/>
        <v>2.6064E-3</v>
      </c>
      <c r="J83" s="45">
        <f t="shared" si="27"/>
        <v>1.0704E-3</v>
      </c>
      <c r="K83" s="45">
        <f>(S83*$K$5)*(IF(B83&gt;=Age,$K$1*VLOOKUP('Q-Rates'!B83-Age+1,'Q-Rates'!$BC$8:$BD$128,2,0),1))</f>
        <v>5.9939999999999993E-3</v>
      </c>
      <c r="L83" s="45">
        <f>(T83*$L$5)*(IF(B83&gt;=Age,$L$1*VLOOKUP('Q-Rates'!B83-Age+1,'Q-Rates'!$BC$8:$BD$128,2,0),1))</f>
        <v>1.4345999999999999E-3</v>
      </c>
      <c r="M83" s="45">
        <f>RI!Y61/1000</f>
        <v>3.8706000000000004E-2</v>
      </c>
      <c r="N83" s="45">
        <f>RI!Z61/1000</f>
        <v>2.8785999999999999E-2</v>
      </c>
      <c r="O83" s="45">
        <f>RI!AB61/1000</f>
        <v>8.461999999999999E-3</v>
      </c>
      <c r="P83" s="45">
        <f>RI!AC61/1000</f>
        <v>6.3060000000000008E-3</v>
      </c>
      <c r="Q83" s="45">
        <f>RI!AE61/1000</f>
        <v>2.6064E-3</v>
      </c>
      <c r="R83" s="45">
        <f>RI!AF61/1000</f>
        <v>1.0704E-3</v>
      </c>
      <c r="S83" s="45">
        <f>RI!AH61/1000</f>
        <v>5.3280000000000003E-3</v>
      </c>
      <c r="T83" s="45">
        <f>RI!AI61/1000</f>
        <v>1.2752E-3</v>
      </c>
      <c r="U83" s="45"/>
      <c r="V83" s="45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7">
        <v>0</v>
      </c>
      <c r="AO83" s="20">
        <f t="shared" si="28"/>
        <v>76</v>
      </c>
      <c r="AP83" s="48">
        <v>0</v>
      </c>
      <c r="AQ83" s="49">
        <v>0.1</v>
      </c>
      <c r="AR83" s="49">
        <f>IF($AO83&gt;[1]Basic!$D$29,0,VLOOKUP(MIN($AO83,6),[1]Specs!$Q$5:$R$11,2,0))</f>
        <v>0</v>
      </c>
      <c r="AS83" s="49">
        <v>0.08</v>
      </c>
      <c r="AT83" s="50">
        <f t="shared" si="20"/>
        <v>0</v>
      </c>
      <c r="AV83" s="20">
        <f t="shared" si="29"/>
        <v>76</v>
      </c>
      <c r="AW83" s="51">
        <f t="shared" si="21"/>
        <v>0</v>
      </c>
      <c r="AX83" s="23">
        <f t="shared" si="22"/>
        <v>0.1</v>
      </c>
      <c r="AY83" s="23">
        <f t="shared" si="23"/>
        <v>0</v>
      </c>
      <c r="AZ83" s="23">
        <f t="shared" si="24"/>
        <v>0.08</v>
      </c>
      <c r="BA83" s="52">
        <f t="shared" si="25"/>
        <v>0</v>
      </c>
      <c r="BC83" s="20">
        <f t="shared" si="30"/>
        <v>76</v>
      </c>
      <c r="BD83" s="51">
        <f t="shared" si="31"/>
        <v>0.99999999999999989</v>
      </c>
      <c r="BE83" s="52"/>
    </row>
    <row r="84" spans="2:57" x14ac:dyDescent="0.2">
      <c r="B84" s="20">
        <f t="shared" si="26"/>
        <v>76</v>
      </c>
      <c r="C84" s="44">
        <v>7.3700000000000002E-2</v>
      </c>
      <c r="D84" s="45">
        <v>4.5449999999999997E-2</v>
      </c>
      <c r="E84" s="45">
        <v>5.8765999999999992E-2</v>
      </c>
      <c r="F84" s="45">
        <v>4.0115999999999999E-2</v>
      </c>
      <c r="G84" s="45">
        <f>(M84*($G$4+$H$2)+$G$5*O84)*(IF(B84&gt;=Age,$G$1*VLOOKUP('Q-Rates'!B84-Age+1,'Q-Rates'!$BC$8:$BD$128,2,0),1))</f>
        <v>4.9755599999999997E-2</v>
      </c>
      <c r="H84" s="45">
        <f>(N84*($H$4+$H$2)+$H$5*P84)*(IF(B84&gt;=Age,$G$1*VLOOKUP('Q-Rates'!B84-Age+1,'Q-Rates'!$BC$8:$BD$128,2,0),1))</f>
        <v>3.7237199999999991E-2</v>
      </c>
      <c r="I84" s="45">
        <f t="shared" si="14"/>
        <v>2.7263999999999999E-3</v>
      </c>
      <c r="J84" s="45">
        <f t="shared" si="27"/>
        <v>1.1543999999999999E-3</v>
      </c>
      <c r="K84" s="45">
        <f>(S84*$K$5)*(IF(B84&gt;=Age,$K$1*VLOOKUP('Q-Rates'!B84-Age+1,'Q-Rates'!$BC$8:$BD$128,2,0),1))</f>
        <v>6.8831999999999999E-3</v>
      </c>
      <c r="L84" s="45">
        <f>(T84*$L$5)*(IF(B84&gt;=Age,$L$1*VLOOKUP('Q-Rates'!B84-Age+1,'Q-Rates'!$BC$8:$BD$128,2,0),1))</f>
        <v>1.6937999999999996E-3</v>
      </c>
      <c r="M84" s="45">
        <f>RI!Y62/1000</f>
        <v>4.2236000000000003E-2</v>
      </c>
      <c r="N84" s="45">
        <f>RI!Z62/1000</f>
        <v>3.1643999999999999E-2</v>
      </c>
      <c r="O84" s="45">
        <f>RI!AB62/1000</f>
        <v>9.7860000000000013E-3</v>
      </c>
      <c r="P84" s="45">
        <f>RI!AC62/1000</f>
        <v>7.2979999999999998E-3</v>
      </c>
      <c r="Q84" s="45">
        <f>RI!AE62/1000</f>
        <v>2.7263999999999999E-3</v>
      </c>
      <c r="R84" s="45">
        <f>RI!AF62/1000</f>
        <v>1.1543999999999999E-3</v>
      </c>
      <c r="S84" s="45">
        <f>RI!AH62/1000</f>
        <v>6.1184000000000004E-3</v>
      </c>
      <c r="T84" s="45">
        <f>RI!AI62/1000</f>
        <v>1.5056E-3</v>
      </c>
      <c r="U84" s="45"/>
      <c r="V84" s="45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>
        <v>0</v>
      </c>
      <c r="AO84" s="20">
        <f t="shared" si="28"/>
        <v>77</v>
      </c>
      <c r="AP84" s="48">
        <v>0</v>
      </c>
      <c r="AQ84" s="49">
        <v>0.1</v>
      </c>
      <c r="AR84" s="49">
        <f>IF($AO84&gt;[1]Basic!$D$29,0,VLOOKUP(MIN($AO84,6),[1]Specs!$Q$5:$R$11,2,0))</f>
        <v>0</v>
      </c>
      <c r="AS84" s="49">
        <v>0.08</v>
      </c>
      <c r="AT84" s="50">
        <f t="shared" si="20"/>
        <v>0</v>
      </c>
      <c r="AV84" s="20">
        <f t="shared" si="29"/>
        <v>77</v>
      </c>
      <c r="AW84" s="51">
        <f t="shared" si="21"/>
        <v>0</v>
      </c>
      <c r="AX84" s="23">
        <f t="shared" si="22"/>
        <v>0.1</v>
      </c>
      <c r="AY84" s="23">
        <f t="shared" si="23"/>
        <v>0</v>
      </c>
      <c r="AZ84" s="23">
        <f t="shared" si="24"/>
        <v>0.08</v>
      </c>
      <c r="BA84" s="52">
        <f t="shared" si="25"/>
        <v>0</v>
      </c>
      <c r="BC84" s="20">
        <f t="shared" si="30"/>
        <v>77</v>
      </c>
      <c r="BD84" s="51">
        <f t="shared" si="31"/>
        <v>0.99999999999999989</v>
      </c>
      <c r="BE84" s="52"/>
    </row>
    <row r="85" spans="2:57" x14ac:dyDescent="0.2">
      <c r="B85" s="20">
        <f t="shared" si="26"/>
        <v>77</v>
      </c>
      <c r="C85" s="44">
        <v>8.0369999999999997E-2</v>
      </c>
      <c r="D85" s="45">
        <v>5.0680000000000003E-2</v>
      </c>
      <c r="E85" s="45">
        <v>6.429E-2</v>
      </c>
      <c r="F85" s="45">
        <v>4.4548000000000004E-2</v>
      </c>
      <c r="G85" s="45">
        <f>(M85*($G$4+$H$2)+$G$5*O85)*(IF(B85&gt;=Age,$G$1*VLOOKUP('Q-Rates'!B85-Age+1,'Q-Rates'!$BC$8:$BD$128,2,0),1))</f>
        <v>5.5318199999999991E-2</v>
      </c>
      <c r="H85" s="45">
        <f>(N85*($H$4+$H$2)+$H$5*P85)*(IF(B85&gt;=Age,$G$1*VLOOKUP('Q-Rates'!B85-Age+1,'Q-Rates'!$BC$8:$BD$128,2,0),1))</f>
        <v>4.2031199999999984E-2</v>
      </c>
      <c r="I85" s="45">
        <f t="shared" si="14"/>
        <v>2.8523999999999997E-3</v>
      </c>
      <c r="J85" s="45">
        <f t="shared" si="27"/>
        <v>1.2504E-3</v>
      </c>
      <c r="K85" s="45">
        <f>(S85*$K$5)*(IF(B85&gt;=Age,$K$1*VLOOKUP('Q-Rates'!B85-Age+1,'Q-Rates'!$BC$8:$BD$128,2,0),1))</f>
        <v>7.7831999999999988E-3</v>
      </c>
      <c r="L85" s="45">
        <f>(T85*$L$5)*(IF(B85&gt;=Age,$L$1*VLOOKUP('Q-Rates'!B85-Age+1,'Q-Rates'!$BC$8:$BD$128,2,0),1))</f>
        <v>1.9314E-3</v>
      </c>
      <c r="M85" s="45">
        <f>RI!Y63/1000</f>
        <v>4.6293999999999995E-2</v>
      </c>
      <c r="N85" s="45">
        <f>RI!Z63/1000</f>
        <v>3.4879999999999994E-2</v>
      </c>
      <c r="O85" s="45">
        <f>RI!AB63/1000</f>
        <v>1.1378000000000001E-2</v>
      </c>
      <c r="P85" s="45">
        <f>RI!AC63/1000</f>
        <v>8.8659999999999989E-3</v>
      </c>
      <c r="Q85" s="45">
        <f>RI!AE63/1000</f>
        <v>2.8523999999999997E-3</v>
      </c>
      <c r="R85" s="45">
        <f>RI!AF63/1000</f>
        <v>1.2504E-3</v>
      </c>
      <c r="S85" s="45">
        <f>RI!AH63/1000</f>
        <v>6.9183999999999999E-3</v>
      </c>
      <c r="T85" s="45">
        <f>RI!AI63/1000</f>
        <v>1.7168000000000001E-3</v>
      </c>
      <c r="U85" s="45"/>
      <c r="V85" s="45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7">
        <v>0</v>
      </c>
      <c r="AO85" s="20">
        <f t="shared" si="28"/>
        <v>78</v>
      </c>
      <c r="AP85" s="48">
        <v>0</v>
      </c>
      <c r="AQ85" s="49">
        <v>0.1</v>
      </c>
      <c r="AR85" s="49">
        <f>IF($AO85&gt;[1]Basic!$D$29,0,VLOOKUP(MIN($AO85,6),[1]Specs!$Q$5:$R$11,2,0))</f>
        <v>0</v>
      </c>
      <c r="AS85" s="49">
        <v>0.08</v>
      </c>
      <c r="AT85" s="50">
        <f t="shared" si="20"/>
        <v>0</v>
      </c>
      <c r="AV85" s="20">
        <f t="shared" si="29"/>
        <v>78</v>
      </c>
      <c r="AW85" s="51">
        <f t="shared" si="21"/>
        <v>0</v>
      </c>
      <c r="AX85" s="23">
        <f t="shared" si="22"/>
        <v>0.1</v>
      </c>
      <c r="AY85" s="23">
        <f t="shared" si="23"/>
        <v>0</v>
      </c>
      <c r="AZ85" s="23">
        <f t="shared" si="24"/>
        <v>0.08</v>
      </c>
      <c r="BA85" s="52">
        <f t="shared" si="25"/>
        <v>0</v>
      </c>
      <c r="BC85" s="20">
        <f t="shared" si="30"/>
        <v>78</v>
      </c>
      <c r="BD85" s="51">
        <f t="shared" si="31"/>
        <v>0.99999999999999989</v>
      </c>
      <c r="BE85" s="52"/>
    </row>
    <row r="86" spans="2:57" x14ac:dyDescent="0.2">
      <c r="B86" s="20">
        <f t="shared" si="26"/>
        <v>78</v>
      </c>
      <c r="C86" s="44">
        <v>8.7319999999999995E-2</v>
      </c>
      <c r="D86" s="45">
        <v>5.6320000000000002E-2</v>
      </c>
      <c r="E86" s="45">
        <v>7.0358000000000004E-2</v>
      </c>
      <c r="F86" s="45">
        <v>4.9251999999999997E-2</v>
      </c>
      <c r="G86" s="45">
        <f>(M86*($G$4+$H$2)+$G$5*O86)*(IF(B86&gt;=Age,$G$1*VLOOKUP('Q-Rates'!B86-Age+1,'Q-Rates'!$BC$8:$BD$128,2,0),1))</f>
        <v>0</v>
      </c>
      <c r="H86" s="45">
        <f>(N86*($H$4+$H$2)+$H$5*P86)*(IF(B86&gt;=Age,$G$1*VLOOKUP('Q-Rates'!B86-Age+1,'Q-Rates'!$BC$8:$BD$128,2,0),1))</f>
        <v>0</v>
      </c>
      <c r="I86" s="45">
        <f t="shared" si="14"/>
        <v>0</v>
      </c>
      <c r="J86" s="45">
        <f t="shared" si="27"/>
        <v>0</v>
      </c>
      <c r="K86" s="45">
        <f>(S86*$K$5)*(IF(B86&gt;=Age,$K$1*VLOOKUP('Q-Rates'!B86-Age+1,'Q-Rates'!$BC$8:$BD$128,2,0),1))</f>
        <v>0</v>
      </c>
      <c r="L86" s="45">
        <f>(T86*$L$5)*(IF(B86&gt;=Age,$L$1*VLOOKUP('Q-Rates'!B86-Age+1,'Q-Rates'!$BC$8:$BD$128,2,0),1))</f>
        <v>0</v>
      </c>
      <c r="M86" s="45">
        <f>RI!Y64/1000</f>
        <v>0</v>
      </c>
      <c r="N86" s="45">
        <f>RI!Z64/1000</f>
        <v>0</v>
      </c>
      <c r="O86" s="45">
        <f>RI!AB64/1000</f>
        <v>0</v>
      </c>
      <c r="P86" s="45">
        <f>RI!AC64/1000</f>
        <v>0</v>
      </c>
      <c r="Q86" s="45">
        <f>RI!AE64/1000</f>
        <v>0</v>
      </c>
      <c r="R86" s="45">
        <f>RI!AF64/1000</f>
        <v>0</v>
      </c>
      <c r="S86" s="45">
        <f>RI!AH64/1000</f>
        <v>0</v>
      </c>
      <c r="T86" s="45">
        <f>RI!AI64/1000</f>
        <v>0</v>
      </c>
      <c r="U86" s="45"/>
      <c r="V86" s="45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7">
        <v>0</v>
      </c>
      <c r="AO86" s="20">
        <f t="shared" si="28"/>
        <v>79</v>
      </c>
      <c r="AP86" s="48">
        <v>0</v>
      </c>
      <c r="AQ86" s="49">
        <v>0.1</v>
      </c>
      <c r="AR86" s="49">
        <f>IF($AO86&gt;[1]Basic!$D$29,0,VLOOKUP(MIN($AO86,6),[1]Specs!$Q$5:$R$11,2,0))</f>
        <v>0</v>
      </c>
      <c r="AS86" s="49">
        <v>0.08</v>
      </c>
      <c r="AT86" s="50">
        <f t="shared" si="20"/>
        <v>0</v>
      </c>
      <c r="AV86" s="20">
        <f t="shared" si="29"/>
        <v>79</v>
      </c>
      <c r="AW86" s="51">
        <f t="shared" si="21"/>
        <v>0</v>
      </c>
      <c r="AX86" s="23">
        <f t="shared" si="22"/>
        <v>0.1</v>
      </c>
      <c r="AY86" s="23">
        <f t="shared" si="23"/>
        <v>0</v>
      </c>
      <c r="AZ86" s="23">
        <f t="shared" si="24"/>
        <v>0.08</v>
      </c>
      <c r="BA86" s="52">
        <f t="shared" si="25"/>
        <v>0</v>
      </c>
      <c r="BC86" s="20">
        <f t="shared" si="30"/>
        <v>79</v>
      </c>
      <c r="BD86" s="51">
        <f t="shared" si="31"/>
        <v>0.99999999999999989</v>
      </c>
      <c r="BE86" s="52"/>
    </row>
    <row r="87" spans="2:57" x14ac:dyDescent="0.2">
      <c r="B87" s="20">
        <f t="shared" si="26"/>
        <v>79</v>
      </c>
      <c r="C87" s="44">
        <v>9.4759999999999997E-2</v>
      </c>
      <c r="D87" s="45">
        <v>6.2570000000000001E-2</v>
      </c>
      <c r="E87" s="45">
        <v>7.7009999999999995E-2</v>
      </c>
      <c r="F87" s="45">
        <v>5.4486000000000007E-2</v>
      </c>
      <c r="G87" s="45">
        <f>(M87*($G$4+$H$2)+$G$5*O87)*(IF(B87&gt;=Age,$G$1*VLOOKUP('Q-Rates'!B87-Age+1,'Q-Rates'!$BC$8:$BD$128,2,0),1))</f>
        <v>0</v>
      </c>
      <c r="H87" s="45">
        <f>(N87*($H$4+$H$2)+$H$5*P87)*(IF(B87&gt;=Age,$G$1*VLOOKUP('Q-Rates'!B87-Age+1,'Q-Rates'!$BC$8:$BD$128,2,0),1))</f>
        <v>0</v>
      </c>
      <c r="I87" s="45">
        <f t="shared" si="14"/>
        <v>0</v>
      </c>
      <c r="J87" s="45">
        <f t="shared" si="27"/>
        <v>0</v>
      </c>
      <c r="K87" s="45">
        <f>(S87*$K$5)*(IF(B87&gt;=Age,$K$1*VLOOKUP('Q-Rates'!B87-Age+1,'Q-Rates'!$BC$8:$BD$128,2,0),1))</f>
        <v>0</v>
      </c>
      <c r="L87" s="45">
        <f>(T87*$L$5)*(IF(B87&gt;=Age,$L$1*VLOOKUP('Q-Rates'!B87-Age+1,'Q-Rates'!$BC$8:$BD$128,2,0),1))</f>
        <v>0</v>
      </c>
      <c r="M87" s="45">
        <f>RI!Y65/1000</f>
        <v>0</v>
      </c>
      <c r="N87" s="45">
        <f>RI!Z65/1000</f>
        <v>0</v>
      </c>
      <c r="O87" s="45">
        <f>RI!AB65/1000</f>
        <v>0</v>
      </c>
      <c r="P87" s="45">
        <f>RI!AC65/1000</f>
        <v>0</v>
      </c>
      <c r="Q87" s="45">
        <f>RI!AE65/1000</f>
        <v>0</v>
      </c>
      <c r="R87" s="45">
        <f>RI!AF65/1000</f>
        <v>0</v>
      </c>
      <c r="S87" s="45">
        <f>RI!AH65/1000</f>
        <v>0</v>
      </c>
      <c r="T87" s="45">
        <f>RI!AI65/1000</f>
        <v>0</v>
      </c>
      <c r="U87" s="45"/>
      <c r="V87" s="45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7">
        <v>0</v>
      </c>
      <c r="AO87" s="20">
        <f t="shared" si="28"/>
        <v>80</v>
      </c>
      <c r="AP87" s="48">
        <v>0</v>
      </c>
      <c r="AQ87" s="49">
        <v>0.1</v>
      </c>
      <c r="AR87" s="49">
        <f>IF($AO87&gt;[1]Basic!$D$29,0,VLOOKUP(MIN($AO87,6),[1]Specs!$Q$5:$R$11,2,0))</f>
        <v>0</v>
      </c>
      <c r="AS87" s="49">
        <v>0.08</v>
      </c>
      <c r="AT87" s="50">
        <f t="shared" si="20"/>
        <v>0</v>
      </c>
      <c r="AV87" s="20">
        <f t="shared" si="29"/>
        <v>80</v>
      </c>
      <c r="AW87" s="51">
        <f t="shared" si="21"/>
        <v>0</v>
      </c>
      <c r="AX87" s="23">
        <f t="shared" si="22"/>
        <v>0.1</v>
      </c>
      <c r="AY87" s="23">
        <f t="shared" si="23"/>
        <v>0</v>
      </c>
      <c r="AZ87" s="23">
        <f t="shared" si="24"/>
        <v>0.08</v>
      </c>
      <c r="BA87" s="52">
        <f t="shared" si="25"/>
        <v>0</v>
      </c>
      <c r="BC87" s="20">
        <f t="shared" si="30"/>
        <v>80</v>
      </c>
      <c r="BD87" s="51">
        <f t="shared" si="31"/>
        <v>0.99999999999999989</v>
      </c>
      <c r="BE87" s="52"/>
    </row>
    <row r="88" spans="2:57" x14ac:dyDescent="0.2">
      <c r="B88" s="20">
        <f t="shared" si="26"/>
        <v>80</v>
      </c>
      <c r="C88" s="44">
        <v>0.10294</v>
      </c>
      <c r="D88" s="45">
        <v>6.9669999999999996E-2</v>
      </c>
      <c r="E88" s="45">
        <v>8.424799999999999E-2</v>
      </c>
      <c r="F88" s="45">
        <v>6.0351999999999996E-2</v>
      </c>
      <c r="G88" s="45">
        <f>(M88*($G$4+$H$2)+$G$5*O88)*(IF(B88&gt;=Age,$G$1*VLOOKUP('Q-Rates'!B88-Age+1,'Q-Rates'!$BC$8:$BD$128,2,0),1))</f>
        <v>0</v>
      </c>
      <c r="H88" s="45">
        <f>(N88*($H$4+$H$2)+$H$5*P88)*(IF(B88&gt;=Age,$G$1*VLOOKUP('Q-Rates'!B88-Age+1,'Q-Rates'!$BC$8:$BD$128,2,0),1))</f>
        <v>0</v>
      </c>
      <c r="I88" s="45">
        <f t="shared" si="14"/>
        <v>0</v>
      </c>
      <c r="J88" s="45">
        <f t="shared" si="27"/>
        <v>0</v>
      </c>
      <c r="K88" s="45">
        <f>(S88*$K$5)*(IF(B88&gt;=Age,$K$1*VLOOKUP('Q-Rates'!B88-Age+1,'Q-Rates'!$BC$8:$BD$128,2,0),1))</f>
        <v>0</v>
      </c>
      <c r="L88" s="45">
        <f>(T88*$L$5)*(IF(B88&gt;=Age,$L$1*VLOOKUP('Q-Rates'!B88-Age+1,'Q-Rates'!$BC$8:$BD$128,2,0),1))</f>
        <v>0</v>
      </c>
      <c r="M88" s="45">
        <f>RI!Y66/1000</f>
        <v>0</v>
      </c>
      <c r="N88" s="45">
        <f>RI!Z66/1000</f>
        <v>0</v>
      </c>
      <c r="O88" s="45">
        <f>RI!AB66/1000</f>
        <v>0</v>
      </c>
      <c r="P88" s="45">
        <f>RI!AC66/1000</f>
        <v>0</v>
      </c>
      <c r="Q88" s="45">
        <f>RI!AE66/1000</f>
        <v>0</v>
      </c>
      <c r="R88" s="45">
        <f>RI!AF66/1000</f>
        <v>0</v>
      </c>
      <c r="S88" s="45">
        <f>RI!AH66/1000</f>
        <v>0</v>
      </c>
      <c r="T88" s="45">
        <f>RI!AI66/1000</f>
        <v>0</v>
      </c>
      <c r="U88" s="45"/>
      <c r="V88" s="45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7">
        <v>0</v>
      </c>
      <c r="AO88" s="20">
        <f t="shared" si="28"/>
        <v>81</v>
      </c>
      <c r="AP88" s="48">
        <v>0</v>
      </c>
      <c r="AQ88" s="49">
        <v>0.1</v>
      </c>
      <c r="AR88" s="49">
        <f>IF($AO88&gt;[1]Basic!$D$29,0,VLOOKUP(MIN($AO88,6),[1]Specs!$Q$5:$R$11,2,0))</f>
        <v>0</v>
      </c>
      <c r="AS88" s="49">
        <v>0.08</v>
      </c>
      <c r="AT88" s="50">
        <f t="shared" si="20"/>
        <v>0</v>
      </c>
      <c r="AV88" s="20">
        <f t="shared" si="29"/>
        <v>81</v>
      </c>
      <c r="AW88" s="51">
        <f t="shared" si="21"/>
        <v>0</v>
      </c>
      <c r="AX88" s="23">
        <f t="shared" si="22"/>
        <v>0.1</v>
      </c>
      <c r="AY88" s="23">
        <f t="shared" si="23"/>
        <v>0</v>
      </c>
      <c r="AZ88" s="23">
        <f t="shared" si="24"/>
        <v>0.08</v>
      </c>
      <c r="BA88" s="52">
        <f t="shared" si="25"/>
        <v>0</v>
      </c>
      <c r="BC88" s="20">
        <f t="shared" si="30"/>
        <v>81</v>
      </c>
      <c r="BD88" s="51">
        <f t="shared" si="31"/>
        <v>0.99999999999999989</v>
      </c>
      <c r="BE88" s="52"/>
    </row>
    <row r="89" spans="2:57" x14ac:dyDescent="0.2">
      <c r="B89" s="20">
        <f t="shared" si="26"/>
        <v>81</v>
      </c>
      <c r="C89" s="44">
        <v>0.11209</v>
      </c>
      <c r="D89" s="45">
        <v>7.7829999999999996E-2</v>
      </c>
      <c r="E89" s="45">
        <v>9.2146000000000006E-2</v>
      </c>
      <c r="F89" s="45">
        <v>6.6959999999999992E-2</v>
      </c>
      <c r="G89" s="45">
        <f>(M89*($G$4+$H$2)+$G$5*O89)*(IF(B89&gt;=Age,$G$1*VLOOKUP('Q-Rates'!B89-Age+1,'Q-Rates'!$BC$8:$BD$128,2,0),1))</f>
        <v>0</v>
      </c>
      <c r="H89" s="45">
        <f>(N89*($H$4+$H$2)+$H$5*P89)*(IF(B89&gt;=Age,$G$1*VLOOKUP('Q-Rates'!B89-Age+1,'Q-Rates'!$BC$8:$BD$128,2,0),1))</f>
        <v>0</v>
      </c>
      <c r="I89" s="45">
        <f t="shared" si="14"/>
        <v>0</v>
      </c>
      <c r="J89" s="45">
        <f t="shared" si="27"/>
        <v>0</v>
      </c>
      <c r="K89" s="45">
        <f>(S89*$K$5)*(IF(B89&gt;=Age,$K$1*VLOOKUP('Q-Rates'!B89-Age+1,'Q-Rates'!$BC$8:$BD$128,2,0),1))</f>
        <v>0</v>
      </c>
      <c r="L89" s="45">
        <f>(T89*$L$5)*(IF(B89&gt;=Age,$L$1*VLOOKUP('Q-Rates'!B89-Age+1,'Q-Rates'!$BC$8:$BD$128,2,0),1))</f>
        <v>0</v>
      </c>
      <c r="M89" s="45">
        <f>RI!Y67/1000</f>
        <v>0</v>
      </c>
      <c r="N89" s="45">
        <f>RI!Z67/1000</f>
        <v>0</v>
      </c>
      <c r="O89" s="45">
        <f>RI!AB67/1000</f>
        <v>0</v>
      </c>
      <c r="P89" s="45">
        <f>RI!AC67/1000</f>
        <v>0</v>
      </c>
      <c r="Q89" s="45">
        <f>RI!AE67/1000</f>
        <v>0</v>
      </c>
      <c r="R89" s="45">
        <f>RI!AF67/1000</f>
        <v>0</v>
      </c>
      <c r="S89" s="45">
        <f>RI!AH67/1000</f>
        <v>0</v>
      </c>
      <c r="T89" s="45">
        <f>RI!AI67/1000</f>
        <v>0</v>
      </c>
      <c r="U89" s="45"/>
      <c r="V89" s="45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7">
        <v>0</v>
      </c>
      <c r="AO89" s="20">
        <f t="shared" si="28"/>
        <v>82</v>
      </c>
      <c r="AP89" s="48">
        <v>0</v>
      </c>
      <c r="AQ89" s="49">
        <v>0.1</v>
      </c>
      <c r="AR89" s="49">
        <f>IF($AO89&gt;[1]Basic!$D$29,0,VLOOKUP(MIN($AO89,6),[1]Specs!$Q$5:$R$11,2,0))</f>
        <v>0</v>
      </c>
      <c r="AS89" s="49">
        <v>0.08</v>
      </c>
      <c r="AT89" s="50">
        <f t="shared" si="20"/>
        <v>0</v>
      </c>
      <c r="AV89" s="20">
        <f t="shared" si="29"/>
        <v>82</v>
      </c>
      <c r="AW89" s="51">
        <f t="shared" si="21"/>
        <v>0</v>
      </c>
      <c r="AX89" s="23">
        <f t="shared" si="22"/>
        <v>0.1</v>
      </c>
      <c r="AY89" s="23">
        <f t="shared" si="23"/>
        <v>0</v>
      </c>
      <c r="AZ89" s="23">
        <f t="shared" si="24"/>
        <v>0.08</v>
      </c>
      <c r="BA89" s="52">
        <f t="shared" si="25"/>
        <v>0</v>
      </c>
      <c r="BC89" s="20">
        <f t="shared" si="30"/>
        <v>82</v>
      </c>
      <c r="BD89" s="51">
        <f t="shared" si="31"/>
        <v>0.99999999999999989</v>
      </c>
      <c r="BE89" s="52"/>
    </row>
    <row r="90" spans="2:57" x14ac:dyDescent="0.2">
      <c r="B90" s="20">
        <f t="shared" si="26"/>
        <v>82</v>
      </c>
      <c r="C90" s="44">
        <v>0.12241</v>
      </c>
      <c r="D90" s="45">
        <v>8.7249999999999994E-2</v>
      </c>
      <c r="E90" s="45">
        <v>0.100618</v>
      </c>
      <c r="F90" s="45">
        <v>7.4294000000000013E-2</v>
      </c>
      <c r="G90" s="45">
        <f>(M90*($G$4+$H$2)+$G$5*O90)*(IF(B90&gt;=Age,$G$1*VLOOKUP('Q-Rates'!B90-Age+1,'Q-Rates'!$BC$8:$BD$128,2,0),1))</f>
        <v>0</v>
      </c>
      <c r="H90" s="45">
        <f>(N90*($H$4+$H$2)+$H$5*P90)*(IF(B90&gt;=Age,$G$1*VLOOKUP('Q-Rates'!B90-Age+1,'Q-Rates'!$BC$8:$BD$128,2,0),1))</f>
        <v>0</v>
      </c>
      <c r="I90" s="45">
        <f t="shared" si="14"/>
        <v>0</v>
      </c>
      <c r="J90" s="45">
        <f t="shared" si="27"/>
        <v>0</v>
      </c>
      <c r="K90" s="45">
        <f>(S90*$K$5)*(IF(B90&gt;=Age,$K$1*VLOOKUP('Q-Rates'!B90-Age+1,'Q-Rates'!$BC$8:$BD$128,2,0),1))</f>
        <v>0</v>
      </c>
      <c r="L90" s="45">
        <f>(T90*$L$5)*(IF(B90&gt;=Age,$L$1*VLOOKUP('Q-Rates'!B90-Age+1,'Q-Rates'!$BC$8:$BD$128,2,0),1))</f>
        <v>0</v>
      </c>
      <c r="M90" s="45">
        <f>RI!Y68/1000</f>
        <v>0</v>
      </c>
      <c r="N90" s="45">
        <f>RI!Z68/1000</f>
        <v>0</v>
      </c>
      <c r="O90" s="45">
        <f>RI!AB68/1000</f>
        <v>0</v>
      </c>
      <c r="P90" s="45">
        <f>RI!AC68/1000</f>
        <v>0</v>
      </c>
      <c r="Q90" s="45">
        <f>RI!AE68/1000</f>
        <v>0</v>
      </c>
      <c r="R90" s="45">
        <f>RI!AF68/1000</f>
        <v>0</v>
      </c>
      <c r="S90" s="45">
        <f>RI!AH68/1000</f>
        <v>0</v>
      </c>
      <c r="T90" s="45">
        <f>RI!AI68/1000</f>
        <v>0</v>
      </c>
      <c r="U90" s="45"/>
      <c r="V90" s="45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7">
        <v>0</v>
      </c>
      <c r="AO90" s="20">
        <f t="shared" si="28"/>
        <v>83</v>
      </c>
      <c r="AP90" s="48">
        <v>0</v>
      </c>
      <c r="AQ90" s="49">
        <v>0.1</v>
      </c>
      <c r="AR90" s="49">
        <f>IF($AO90&gt;[1]Basic!$D$29,0,VLOOKUP(MIN($AO90,6),[1]Specs!$Q$5:$R$11,2,0))</f>
        <v>0</v>
      </c>
      <c r="AS90" s="49">
        <v>0.08</v>
      </c>
      <c r="AT90" s="50">
        <f t="shared" si="20"/>
        <v>0</v>
      </c>
      <c r="AV90" s="20">
        <f t="shared" si="29"/>
        <v>83</v>
      </c>
      <c r="AW90" s="51">
        <f t="shared" si="21"/>
        <v>0</v>
      </c>
      <c r="AX90" s="23">
        <f t="shared" si="22"/>
        <v>0.1</v>
      </c>
      <c r="AY90" s="23">
        <f t="shared" si="23"/>
        <v>0</v>
      </c>
      <c r="AZ90" s="23">
        <f t="shared" si="24"/>
        <v>0.08</v>
      </c>
      <c r="BA90" s="52">
        <f t="shared" si="25"/>
        <v>0</v>
      </c>
      <c r="BC90" s="20">
        <f t="shared" si="30"/>
        <v>83</v>
      </c>
      <c r="BD90" s="51">
        <f t="shared" si="31"/>
        <v>0.99999999999999989</v>
      </c>
      <c r="BE90" s="52"/>
    </row>
    <row r="91" spans="2:57" x14ac:dyDescent="0.2">
      <c r="B91" s="20">
        <f t="shared" si="26"/>
        <v>83</v>
      </c>
      <c r="C91" s="44">
        <v>0.13383999999999999</v>
      </c>
      <c r="D91" s="45">
        <v>9.7900000000000001E-2</v>
      </c>
      <c r="E91" s="45">
        <v>0.10974799999999998</v>
      </c>
      <c r="F91" s="45">
        <v>8.2306000000000018E-2</v>
      </c>
      <c r="G91" s="45">
        <f>(M91*($G$4+$H$2)+$G$5*O91)*(IF(B91&gt;=Age,$G$1*VLOOKUP('Q-Rates'!B91-Age+1,'Q-Rates'!$BC$8:$BD$128,2,0),1))</f>
        <v>0</v>
      </c>
      <c r="H91" s="45">
        <f>(N91*($H$4+$H$2)+$H$5*P91)*(IF(B91&gt;=Age,$G$1*VLOOKUP('Q-Rates'!B91-Age+1,'Q-Rates'!$BC$8:$BD$128,2,0),1))</f>
        <v>0</v>
      </c>
      <c r="I91" s="45">
        <f t="shared" ref="I91:I128" si="32">(Q91*$I$5)</f>
        <v>0</v>
      </c>
      <c r="J91" s="45">
        <f t="shared" si="27"/>
        <v>0</v>
      </c>
      <c r="K91" s="45">
        <f>(S91*$K$5)*(IF(B91&gt;=Age,$K$1*VLOOKUP('Q-Rates'!B91-Age+1,'Q-Rates'!$BC$8:$BD$128,2,0),1))</f>
        <v>0</v>
      </c>
      <c r="L91" s="45">
        <f>(T91*$L$5)*(IF(B91&gt;=Age,$L$1*VLOOKUP('Q-Rates'!B91-Age+1,'Q-Rates'!$BC$8:$BD$128,2,0),1))</f>
        <v>0</v>
      </c>
      <c r="M91" s="45">
        <f>RI!Y69/1000</f>
        <v>0</v>
      </c>
      <c r="N91" s="45">
        <f>RI!Z69/1000</f>
        <v>0</v>
      </c>
      <c r="O91" s="45">
        <f>RI!AB69/1000</f>
        <v>0</v>
      </c>
      <c r="P91" s="45">
        <f>RI!AC69/1000</f>
        <v>0</v>
      </c>
      <c r="Q91" s="45">
        <f>RI!AE69/1000</f>
        <v>0</v>
      </c>
      <c r="R91" s="45">
        <f>RI!AF69/1000</f>
        <v>0</v>
      </c>
      <c r="S91" s="45">
        <f>RI!AH69/1000</f>
        <v>0</v>
      </c>
      <c r="T91" s="45">
        <f>RI!AI69/1000</f>
        <v>0</v>
      </c>
      <c r="U91" s="45"/>
      <c r="V91" s="45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7">
        <v>0</v>
      </c>
      <c r="AO91" s="20">
        <f t="shared" si="28"/>
        <v>84</v>
      </c>
      <c r="AP91" s="48">
        <v>0</v>
      </c>
      <c r="AQ91" s="49">
        <v>0.1</v>
      </c>
      <c r="AR91" s="49">
        <f>IF($AO91&gt;[1]Basic!$D$29,0,VLOOKUP(MIN($AO91,6),[1]Specs!$Q$5:$R$11,2,0))</f>
        <v>0</v>
      </c>
      <c r="AS91" s="49">
        <v>0.08</v>
      </c>
      <c r="AT91" s="50">
        <f t="shared" si="20"/>
        <v>0</v>
      </c>
      <c r="AV91" s="20">
        <f t="shared" si="29"/>
        <v>84</v>
      </c>
      <c r="AW91" s="51">
        <f t="shared" si="21"/>
        <v>0</v>
      </c>
      <c r="AX91" s="23">
        <f t="shared" si="22"/>
        <v>0.1</v>
      </c>
      <c r="AY91" s="23">
        <f t="shared" si="23"/>
        <v>0</v>
      </c>
      <c r="AZ91" s="23">
        <f t="shared" si="24"/>
        <v>0.08</v>
      </c>
      <c r="BA91" s="52">
        <f t="shared" si="25"/>
        <v>0</v>
      </c>
      <c r="BC91" s="20">
        <f t="shared" si="30"/>
        <v>84</v>
      </c>
      <c r="BD91" s="51">
        <f t="shared" si="31"/>
        <v>0.99999999999999989</v>
      </c>
      <c r="BE91" s="52"/>
    </row>
    <row r="92" spans="2:57" x14ac:dyDescent="0.2">
      <c r="B92" s="20">
        <f t="shared" si="26"/>
        <v>84</v>
      </c>
      <c r="C92" s="44">
        <v>0.14612</v>
      </c>
      <c r="D92" s="45">
        <v>0.10962</v>
      </c>
      <c r="E92" s="45">
        <v>0.11958400000000001</v>
      </c>
      <c r="F92" s="45">
        <v>9.0959999999999999E-2</v>
      </c>
      <c r="G92" s="45">
        <f>(M92*($G$4+$H$2)+$G$5*O92)*(IF(B92&gt;=Age,$G$1*VLOOKUP('Q-Rates'!B92-Age+1,'Q-Rates'!$BC$8:$BD$128,2,0),1))</f>
        <v>0</v>
      </c>
      <c r="H92" s="45">
        <f>(N92*($H$4+$H$2)+$H$5*P92)*(IF(B92&gt;=Age,$G$1*VLOOKUP('Q-Rates'!B92-Age+1,'Q-Rates'!$BC$8:$BD$128,2,0),1))</f>
        <v>0</v>
      </c>
      <c r="I92" s="45">
        <f t="shared" si="32"/>
        <v>0</v>
      </c>
      <c r="J92" s="45">
        <f t="shared" si="27"/>
        <v>0</v>
      </c>
      <c r="K92" s="45">
        <f>(S92*$K$5)*(IF(B92&gt;=Age,$K$1*VLOOKUP('Q-Rates'!B92-Age+1,'Q-Rates'!$BC$8:$BD$128,2,0),1))</f>
        <v>0</v>
      </c>
      <c r="L92" s="45">
        <f>(T92*$L$5)*(IF(B92&gt;=Age,$L$1*VLOOKUP('Q-Rates'!B92-Age+1,'Q-Rates'!$BC$8:$BD$128,2,0),1))</f>
        <v>0</v>
      </c>
      <c r="M92" s="45">
        <f>RI!Y70/1000</f>
        <v>0</v>
      </c>
      <c r="N92" s="45">
        <f>RI!Z70/1000</f>
        <v>0</v>
      </c>
      <c r="O92" s="45">
        <f>RI!AB70/1000</f>
        <v>0</v>
      </c>
      <c r="P92" s="45">
        <f>RI!AC70/1000</f>
        <v>0</v>
      </c>
      <c r="Q92" s="45">
        <f>RI!AE70/1000</f>
        <v>0</v>
      </c>
      <c r="R92" s="45">
        <f>RI!AF70/1000</f>
        <v>0</v>
      </c>
      <c r="S92" s="45">
        <f>RI!AH70/1000</f>
        <v>0</v>
      </c>
      <c r="T92" s="45">
        <f>RI!AI70/1000</f>
        <v>0</v>
      </c>
      <c r="U92" s="45"/>
      <c r="V92" s="45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7">
        <v>0</v>
      </c>
      <c r="AO92" s="20">
        <f t="shared" si="28"/>
        <v>85</v>
      </c>
      <c r="AP92" s="48">
        <v>0</v>
      </c>
      <c r="AQ92" s="49">
        <v>0.1</v>
      </c>
      <c r="AR92" s="49">
        <f>IF($AO92&gt;[1]Basic!$D$29,0,VLOOKUP(MIN($AO92,6),[1]Specs!$Q$5:$R$11,2,0))</f>
        <v>0</v>
      </c>
      <c r="AS92" s="49">
        <v>0.08</v>
      </c>
      <c r="AT92" s="50">
        <f t="shared" si="20"/>
        <v>0</v>
      </c>
      <c r="AV92" s="20">
        <f t="shared" si="29"/>
        <v>85</v>
      </c>
      <c r="AW92" s="51">
        <f t="shared" si="21"/>
        <v>0</v>
      </c>
      <c r="AX92" s="23">
        <f t="shared" si="22"/>
        <v>0.1</v>
      </c>
      <c r="AY92" s="23">
        <f t="shared" si="23"/>
        <v>0</v>
      </c>
      <c r="AZ92" s="23">
        <f t="shared" si="24"/>
        <v>0.08</v>
      </c>
      <c r="BA92" s="52">
        <f t="shared" si="25"/>
        <v>0</v>
      </c>
      <c r="BC92" s="20">
        <f t="shared" si="30"/>
        <v>85</v>
      </c>
      <c r="BD92" s="51">
        <f t="shared" si="31"/>
        <v>0.99999999999999989</v>
      </c>
      <c r="BE92" s="52"/>
    </row>
    <row r="93" spans="2:57" x14ac:dyDescent="0.2">
      <c r="B93" s="20">
        <f t="shared" si="26"/>
        <v>85</v>
      </c>
      <c r="C93" s="44">
        <v>0.15898000000000001</v>
      </c>
      <c r="D93" s="45">
        <v>0.12229</v>
      </c>
      <c r="E93" s="45">
        <v>0.13014999999999999</v>
      </c>
      <c r="F93" s="45">
        <v>0.10022999999999999</v>
      </c>
      <c r="G93" s="45">
        <f>(M93*($G$4+$H$2)+$G$5*O93)*(IF(B93&gt;=Age,$G$1*VLOOKUP('Q-Rates'!B93-Age+1,'Q-Rates'!$BC$8:$BD$128,2,0),1))</f>
        <v>0</v>
      </c>
      <c r="H93" s="45">
        <f>(N93*($H$4+$H$2)+$H$5*P93)*(IF(B93&gt;=Age,$G$1*VLOOKUP('Q-Rates'!B93-Age+1,'Q-Rates'!$BC$8:$BD$128,2,0),1))</f>
        <v>0</v>
      </c>
      <c r="I93" s="45">
        <f t="shared" si="32"/>
        <v>0</v>
      </c>
      <c r="J93" s="45">
        <f t="shared" si="27"/>
        <v>0</v>
      </c>
      <c r="K93" s="45">
        <f>(S93*$K$5)*(IF(B93&gt;=Age,$K$1*VLOOKUP('Q-Rates'!B93-Age+1,'Q-Rates'!$BC$8:$BD$128,2,0),1))</f>
        <v>0</v>
      </c>
      <c r="L93" s="45">
        <f>(T93*$L$5)*(IF(B93&gt;=Age,$L$1*VLOOKUP('Q-Rates'!B93-Age+1,'Q-Rates'!$BC$8:$BD$128,2,0),1))</f>
        <v>0</v>
      </c>
      <c r="M93" s="45">
        <f>RI!Y71/1000</f>
        <v>0</v>
      </c>
      <c r="N93" s="45">
        <f>RI!Z71/1000</f>
        <v>0</v>
      </c>
      <c r="O93" s="45">
        <f>RI!AB71/1000</f>
        <v>0</v>
      </c>
      <c r="P93" s="45">
        <f>RI!AC71/1000</f>
        <v>0</v>
      </c>
      <c r="Q93" s="45">
        <f>RI!AE71/1000</f>
        <v>0</v>
      </c>
      <c r="R93" s="45">
        <f>RI!AF71/1000</f>
        <v>0</v>
      </c>
      <c r="S93" s="45">
        <f>RI!AH71/1000</f>
        <v>0</v>
      </c>
      <c r="T93" s="45">
        <f>RI!AI71/1000</f>
        <v>0</v>
      </c>
      <c r="U93" s="45"/>
      <c r="V93" s="45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7">
        <v>0</v>
      </c>
      <c r="AO93" s="20">
        <f t="shared" si="28"/>
        <v>86</v>
      </c>
      <c r="AP93" s="48">
        <v>0</v>
      </c>
      <c r="AQ93" s="49">
        <v>0.1</v>
      </c>
      <c r="AR93" s="49">
        <f>IF($AO93&gt;[1]Basic!$D$29,0,VLOOKUP(MIN($AO93,6),[1]Specs!$Q$5:$R$11,2,0))</f>
        <v>0</v>
      </c>
      <c r="AS93" s="49">
        <v>0.08</v>
      </c>
      <c r="AT93" s="50">
        <f t="shared" si="20"/>
        <v>0</v>
      </c>
      <c r="AV93" s="20">
        <f t="shared" si="29"/>
        <v>86</v>
      </c>
      <c r="AW93" s="51">
        <f t="shared" si="21"/>
        <v>0</v>
      </c>
      <c r="AX93" s="23">
        <f t="shared" si="22"/>
        <v>0.1</v>
      </c>
      <c r="AY93" s="23">
        <f t="shared" si="23"/>
        <v>0</v>
      </c>
      <c r="AZ93" s="23">
        <f t="shared" si="24"/>
        <v>0.08</v>
      </c>
      <c r="BA93" s="52">
        <f t="shared" si="25"/>
        <v>0</v>
      </c>
      <c r="BC93" s="20">
        <f t="shared" si="30"/>
        <v>86</v>
      </c>
      <c r="BD93" s="51">
        <f t="shared" si="31"/>
        <v>0.99999999999999989</v>
      </c>
      <c r="BE93" s="52"/>
    </row>
    <row r="94" spans="2:57" x14ac:dyDescent="0.2">
      <c r="B94" s="20">
        <f t="shared" si="26"/>
        <v>86</v>
      </c>
      <c r="C94" s="44">
        <v>0.17221</v>
      </c>
      <c r="D94" s="45">
        <v>0.13582</v>
      </c>
      <c r="E94" s="45">
        <v>0.14111200000000002</v>
      </c>
      <c r="F94" s="45">
        <v>0.10985399999999999</v>
      </c>
      <c r="G94" s="45">
        <f>(M94*($G$4+$H$2)+$G$5*O94)*(IF(B94&gt;=Age,$G$1*VLOOKUP('Q-Rates'!B94-Age+1,'Q-Rates'!$BC$8:$BD$128,2,0),1))</f>
        <v>0</v>
      </c>
      <c r="H94" s="45">
        <f>(N94*($H$4+$H$2)+$H$5*P94)*(IF(B94&gt;=Age,$G$1*VLOOKUP('Q-Rates'!B94-Age+1,'Q-Rates'!$BC$8:$BD$128,2,0),1))</f>
        <v>0</v>
      </c>
      <c r="I94" s="45">
        <f t="shared" si="32"/>
        <v>0</v>
      </c>
      <c r="J94" s="45">
        <f t="shared" si="27"/>
        <v>0</v>
      </c>
      <c r="K94" s="45">
        <f>(S94*$K$5)*(IF(B94&gt;=Age,$K$1*VLOOKUP('Q-Rates'!B94-Age+1,'Q-Rates'!$BC$8:$BD$128,2,0),1))</f>
        <v>0</v>
      </c>
      <c r="L94" s="45">
        <f>(T94*$L$5)*(IF(B94&gt;=Age,$L$1*VLOOKUP('Q-Rates'!B94-Age+1,'Q-Rates'!$BC$8:$BD$128,2,0),1))</f>
        <v>0</v>
      </c>
      <c r="M94" s="45">
        <f>RI!Y72/1000</f>
        <v>0</v>
      </c>
      <c r="N94" s="45">
        <f>RI!Z72/1000</f>
        <v>0</v>
      </c>
      <c r="O94" s="45">
        <f>RI!AB72/1000</f>
        <v>0</v>
      </c>
      <c r="P94" s="45">
        <f>RI!AC72/1000</f>
        <v>0</v>
      </c>
      <c r="Q94" s="45">
        <f>RI!AE72/1000</f>
        <v>0</v>
      </c>
      <c r="R94" s="45">
        <f>RI!AF72/1000</f>
        <v>0</v>
      </c>
      <c r="S94" s="45">
        <f>RI!AH72/1000</f>
        <v>0</v>
      </c>
      <c r="T94" s="45">
        <f>RI!AI72/1000</f>
        <v>0</v>
      </c>
      <c r="U94" s="45"/>
      <c r="V94" s="45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>
        <v>0</v>
      </c>
      <c r="AO94" s="20">
        <f t="shared" si="28"/>
        <v>87</v>
      </c>
      <c r="AP94" s="48">
        <v>0</v>
      </c>
      <c r="AQ94" s="49">
        <v>0.1</v>
      </c>
      <c r="AR94" s="49">
        <f>IF($AO94&gt;[1]Basic!$D$29,0,VLOOKUP(MIN($AO94,6),[1]Specs!$Q$5:$R$11,2,0))</f>
        <v>0</v>
      </c>
      <c r="AS94" s="49">
        <v>0.08</v>
      </c>
      <c r="AT94" s="50">
        <f t="shared" si="20"/>
        <v>0</v>
      </c>
      <c r="AV94" s="20">
        <f t="shared" si="29"/>
        <v>87</v>
      </c>
      <c r="AW94" s="51">
        <f t="shared" si="21"/>
        <v>0</v>
      </c>
      <c r="AX94" s="23">
        <f t="shared" si="22"/>
        <v>0.1</v>
      </c>
      <c r="AY94" s="23">
        <f t="shared" si="23"/>
        <v>0</v>
      </c>
      <c r="AZ94" s="23">
        <f t="shared" si="24"/>
        <v>0.08</v>
      </c>
      <c r="BA94" s="52">
        <f t="shared" si="25"/>
        <v>0</v>
      </c>
      <c r="BC94" s="20">
        <f t="shared" si="30"/>
        <v>87</v>
      </c>
      <c r="BD94" s="51">
        <f t="shared" si="31"/>
        <v>0.99999999999999989</v>
      </c>
      <c r="BE94" s="52"/>
    </row>
    <row r="95" spans="2:57" x14ac:dyDescent="0.2">
      <c r="B95" s="20">
        <f t="shared" si="26"/>
        <v>87</v>
      </c>
      <c r="C95" s="44">
        <v>0.18573000000000001</v>
      </c>
      <c r="D95" s="45">
        <v>0.15018000000000001</v>
      </c>
      <c r="E95" s="45">
        <v>0.152808</v>
      </c>
      <c r="F95" s="45">
        <v>0.12006199999999999</v>
      </c>
      <c r="G95" s="45">
        <f>(M95*($G$4+$H$2)+$G$5*O95)*(IF(B95&gt;=Age,$G$1*VLOOKUP('Q-Rates'!B95-Age+1,'Q-Rates'!$BC$8:$BD$128,2,0),1))</f>
        <v>0</v>
      </c>
      <c r="H95" s="45">
        <f>(N95*($H$4+$H$2)+$H$5*P95)*(IF(B95&gt;=Age,$G$1*VLOOKUP('Q-Rates'!B95-Age+1,'Q-Rates'!$BC$8:$BD$128,2,0),1))</f>
        <v>0</v>
      </c>
      <c r="I95" s="45">
        <f t="shared" si="32"/>
        <v>0</v>
      </c>
      <c r="J95" s="45">
        <f t="shared" si="27"/>
        <v>0</v>
      </c>
      <c r="K95" s="45">
        <f>(S95*$K$5)*(IF(B95&gt;=Age,$K$1*VLOOKUP('Q-Rates'!B95-Age+1,'Q-Rates'!$BC$8:$BD$128,2,0),1))</f>
        <v>0</v>
      </c>
      <c r="L95" s="45">
        <f>(T95*$L$5)*(IF(B95&gt;=Age,$L$1*VLOOKUP('Q-Rates'!B95-Age+1,'Q-Rates'!$BC$8:$BD$128,2,0),1))</f>
        <v>0</v>
      </c>
      <c r="M95" s="45">
        <f>RI!Y73/1000</f>
        <v>0</v>
      </c>
      <c r="N95" s="45">
        <f>RI!Z73/1000</f>
        <v>0</v>
      </c>
      <c r="O95" s="45">
        <f>RI!AB73/1000</f>
        <v>0</v>
      </c>
      <c r="P95" s="45">
        <f>RI!AC73/1000</f>
        <v>0</v>
      </c>
      <c r="Q95" s="45">
        <f>RI!AE73/1000</f>
        <v>0</v>
      </c>
      <c r="R95" s="45">
        <f>RI!AF73/1000</f>
        <v>0</v>
      </c>
      <c r="S95" s="45">
        <f>RI!AH73/1000</f>
        <v>0</v>
      </c>
      <c r="T95" s="45">
        <f>RI!AI73/1000</f>
        <v>0</v>
      </c>
      <c r="U95" s="45"/>
      <c r="V95" s="45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7">
        <v>0</v>
      </c>
      <c r="AO95" s="20">
        <f t="shared" si="28"/>
        <v>88</v>
      </c>
      <c r="AP95" s="48">
        <v>0</v>
      </c>
      <c r="AQ95" s="49">
        <v>0.1</v>
      </c>
      <c r="AR95" s="49">
        <f>IF($AO95&gt;[1]Basic!$D$29,0,VLOOKUP(MIN($AO95,6),[1]Specs!$Q$5:$R$11,2,0))</f>
        <v>0</v>
      </c>
      <c r="AS95" s="49">
        <v>0.08</v>
      </c>
      <c r="AT95" s="50">
        <f t="shared" si="20"/>
        <v>0</v>
      </c>
      <c r="AV95" s="20">
        <f t="shared" si="29"/>
        <v>88</v>
      </c>
      <c r="AW95" s="51">
        <f t="shared" si="21"/>
        <v>0</v>
      </c>
      <c r="AX95" s="23">
        <f t="shared" si="22"/>
        <v>0.1</v>
      </c>
      <c r="AY95" s="23">
        <f t="shared" si="23"/>
        <v>0</v>
      </c>
      <c r="AZ95" s="23">
        <f t="shared" si="24"/>
        <v>0.08</v>
      </c>
      <c r="BA95" s="52">
        <f t="shared" si="25"/>
        <v>0</v>
      </c>
      <c r="BC95" s="20">
        <f t="shared" si="30"/>
        <v>88</v>
      </c>
      <c r="BD95" s="51">
        <f t="shared" si="31"/>
        <v>0.99999999999999989</v>
      </c>
      <c r="BE95" s="52"/>
    </row>
    <row r="96" spans="2:57" x14ac:dyDescent="0.2">
      <c r="B96" s="20">
        <f t="shared" si="26"/>
        <v>88</v>
      </c>
      <c r="C96" s="44">
        <v>0.19953000000000001</v>
      </c>
      <c r="D96" s="45">
        <v>0.16538</v>
      </c>
      <c r="E96" s="45">
        <v>0.16523199999999999</v>
      </c>
      <c r="F96" s="45">
        <v>0.130908</v>
      </c>
      <c r="G96" s="45">
        <f>(M96*($G$4+$H$2)+$G$5*O96)*(IF(B96&gt;=Age,$G$1*VLOOKUP('Q-Rates'!B96-Age+1,'Q-Rates'!$BC$8:$BD$128,2,0),1))</f>
        <v>0</v>
      </c>
      <c r="H96" s="45">
        <f>(N96*($H$4+$H$2)+$H$5*P96)*(IF(B96&gt;=Age,$G$1*VLOOKUP('Q-Rates'!B96-Age+1,'Q-Rates'!$BC$8:$BD$128,2,0),1))</f>
        <v>0</v>
      </c>
      <c r="I96" s="45">
        <f t="shared" si="32"/>
        <v>0</v>
      </c>
      <c r="J96" s="45">
        <f t="shared" si="27"/>
        <v>0</v>
      </c>
      <c r="K96" s="45">
        <f>(S96*$K$5)*(IF(B96&gt;=Age,$K$1*VLOOKUP('Q-Rates'!B96-Age+1,'Q-Rates'!$BC$8:$BD$128,2,0),1))</f>
        <v>0</v>
      </c>
      <c r="L96" s="45">
        <f>(T96*$L$5)*(IF(B96&gt;=Age,$L$1*VLOOKUP('Q-Rates'!B96-Age+1,'Q-Rates'!$BC$8:$BD$128,2,0),1))</f>
        <v>0</v>
      </c>
      <c r="M96" s="45">
        <f>RI!Y74/1000</f>
        <v>0</v>
      </c>
      <c r="N96" s="45">
        <f>RI!Z74/1000</f>
        <v>0</v>
      </c>
      <c r="O96" s="45">
        <f>RI!AB74/1000</f>
        <v>0</v>
      </c>
      <c r="P96" s="45">
        <f>RI!AC74/1000</f>
        <v>0</v>
      </c>
      <c r="Q96" s="45">
        <f>RI!AE74/1000</f>
        <v>0</v>
      </c>
      <c r="R96" s="45">
        <f>RI!AF74/1000</f>
        <v>0</v>
      </c>
      <c r="S96" s="45">
        <f>RI!AH74/1000</f>
        <v>0</v>
      </c>
      <c r="T96" s="45">
        <f>RI!AI74/1000</f>
        <v>0</v>
      </c>
      <c r="U96" s="45"/>
      <c r="V96" s="45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7">
        <v>0</v>
      </c>
      <c r="AO96" s="20">
        <f t="shared" si="28"/>
        <v>89</v>
      </c>
      <c r="AP96" s="48">
        <v>0</v>
      </c>
      <c r="AQ96" s="49">
        <v>0.1</v>
      </c>
      <c r="AR96" s="49">
        <f>IF($AO96&gt;[1]Basic!$D$29,0,VLOOKUP(MIN($AO96,6),[1]Specs!$Q$5:$R$11,2,0))</f>
        <v>0</v>
      </c>
      <c r="AS96" s="49">
        <v>0.08</v>
      </c>
      <c r="AT96" s="50">
        <f t="shared" si="20"/>
        <v>0</v>
      </c>
      <c r="AV96" s="20">
        <f t="shared" si="29"/>
        <v>89</v>
      </c>
      <c r="AW96" s="51">
        <f t="shared" si="21"/>
        <v>0</v>
      </c>
      <c r="AX96" s="23">
        <f t="shared" si="22"/>
        <v>0.1</v>
      </c>
      <c r="AY96" s="23">
        <f t="shared" si="23"/>
        <v>0</v>
      </c>
      <c r="AZ96" s="23">
        <f t="shared" si="24"/>
        <v>0.08</v>
      </c>
      <c r="BA96" s="52">
        <f t="shared" si="25"/>
        <v>0</v>
      </c>
      <c r="BC96" s="20">
        <f t="shared" si="30"/>
        <v>89</v>
      </c>
      <c r="BD96" s="51">
        <f t="shared" si="31"/>
        <v>0.99999999999999989</v>
      </c>
      <c r="BE96" s="52"/>
    </row>
    <row r="97" spans="2:57" x14ac:dyDescent="0.2">
      <c r="B97" s="20">
        <f t="shared" si="26"/>
        <v>89</v>
      </c>
      <c r="C97" s="44">
        <v>0.21368999999999999</v>
      </c>
      <c r="D97" s="45">
        <v>0.18154000000000001</v>
      </c>
      <c r="E97" s="45">
        <v>0.17843999999999999</v>
      </c>
      <c r="F97" s="45">
        <v>0.14247599999999999</v>
      </c>
      <c r="G97" s="45">
        <f>(M97*($G$4+$H$2)+$G$5*O97)*(IF(B97&gt;=Age,$G$1*VLOOKUP('Q-Rates'!B97-Age+1,'Q-Rates'!$BC$8:$BD$128,2,0),1))</f>
        <v>0</v>
      </c>
      <c r="H97" s="45">
        <f>(N97*($H$4+$H$2)+$H$5*P97)*(IF(B97&gt;=Age,$G$1*VLOOKUP('Q-Rates'!B97-Age+1,'Q-Rates'!$BC$8:$BD$128,2,0),1))</f>
        <v>0</v>
      </c>
      <c r="I97" s="45">
        <f t="shared" si="32"/>
        <v>0</v>
      </c>
      <c r="J97" s="45">
        <f t="shared" si="27"/>
        <v>0</v>
      </c>
      <c r="K97" s="45">
        <f>(S97*$K$5)*(IF(B97&gt;=Age,$K$1*VLOOKUP('Q-Rates'!B97-Age+1,'Q-Rates'!$BC$8:$BD$128,2,0),1))</f>
        <v>0</v>
      </c>
      <c r="L97" s="45">
        <f>(T97*$L$5)*(IF(B97&gt;=Age,$L$1*VLOOKUP('Q-Rates'!B97-Age+1,'Q-Rates'!$BC$8:$BD$128,2,0),1))</f>
        <v>0</v>
      </c>
      <c r="M97" s="45">
        <f>RI!Y75/1000</f>
        <v>0</v>
      </c>
      <c r="N97" s="45">
        <f>RI!Z75/1000</f>
        <v>0</v>
      </c>
      <c r="O97" s="45">
        <f>RI!AB75/1000</f>
        <v>0</v>
      </c>
      <c r="P97" s="45">
        <f>RI!AC75/1000</f>
        <v>0</v>
      </c>
      <c r="Q97" s="45">
        <f>RI!AE75/1000</f>
        <v>0</v>
      </c>
      <c r="R97" s="45">
        <f>RI!AF75/1000</f>
        <v>0</v>
      </c>
      <c r="S97" s="45">
        <f>RI!AH75/1000</f>
        <v>0</v>
      </c>
      <c r="T97" s="45">
        <f>RI!AI75/1000</f>
        <v>0</v>
      </c>
      <c r="U97" s="45"/>
      <c r="V97" s="45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7">
        <v>0</v>
      </c>
      <c r="AO97" s="20">
        <f t="shared" si="28"/>
        <v>90</v>
      </c>
      <c r="AP97" s="48">
        <v>0</v>
      </c>
      <c r="AQ97" s="49">
        <v>0.1</v>
      </c>
      <c r="AR97" s="49">
        <f>IF($AO97&gt;[1]Basic!$D$29,0,VLOOKUP(MIN($AO97,6),[1]Specs!$Q$5:$R$11,2,0))</f>
        <v>0</v>
      </c>
      <c r="AS97" s="49">
        <v>0.08</v>
      </c>
      <c r="AT97" s="50">
        <f t="shared" si="20"/>
        <v>0</v>
      </c>
      <c r="AV97" s="20">
        <f t="shared" si="29"/>
        <v>90</v>
      </c>
      <c r="AW97" s="51">
        <f t="shared" si="21"/>
        <v>0</v>
      </c>
      <c r="AX97" s="23">
        <f t="shared" si="22"/>
        <v>0.1</v>
      </c>
      <c r="AY97" s="23">
        <f t="shared" si="23"/>
        <v>0</v>
      </c>
      <c r="AZ97" s="23">
        <f t="shared" si="24"/>
        <v>0.08</v>
      </c>
      <c r="BA97" s="52">
        <f t="shared" si="25"/>
        <v>0</v>
      </c>
      <c r="BC97" s="20">
        <f t="shared" si="30"/>
        <v>90</v>
      </c>
      <c r="BD97" s="51">
        <f t="shared" si="31"/>
        <v>0.99999999999999989</v>
      </c>
      <c r="BE97" s="52"/>
    </row>
    <row r="98" spans="2:57" x14ac:dyDescent="0.2">
      <c r="B98" s="20">
        <f t="shared" si="26"/>
        <v>90</v>
      </c>
      <c r="C98" s="44">
        <v>0.22842999999999999</v>
      </c>
      <c r="D98" s="45">
        <v>0.19885</v>
      </c>
      <c r="E98" s="45">
        <v>0.19388</v>
      </c>
      <c r="F98" s="45">
        <v>0.15491999999999997</v>
      </c>
      <c r="G98" s="45">
        <f>(M98*($G$4+$H$2)+$G$5*O98)*(IF(B98&gt;=Age,$G$1*VLOOKUP('Q-Rates'!B98-Age+1,'Q-Rates'!$BC$8:$BD$128,2,0),1))</f>
        <v>0</v>
      </c>
      <c r="H98" s="45">
        <f>(N98*($H$4+$H$2)+$H$5*P98)*(IF(B98&gt;=Age,$G$1*VLOOKUP('Q-Rates'!B98-Age+1,'Q-Rates'!$BC$8:$BD$128,2,0),1))</f>
        <v>0</v>
      </c>
      <c r="I98" s="45">
        <f t="shared" si="32"/>
        <v>0</v>
      </c>
      <c r="J98" s="45">
        <f t="shared" si="27"/>
        <v>0</v>
      </c>
      <c r="K98" s="45">
        <f>(S98*$K$5)*(IF(B98&gt;=Age,$K$1*VLOOKUP('Q-Rates'!B98-Age+1,'Q-Rates'!$BC$8:$BD$128,2,0),1))</f>
        <v>0</v>
      </c>
      <c r="L98" s="45">
        <f>(T98*$L$5)*(IF(B98&gt;=Age,$L$1*VLOOKUP('Q-Rates'!B98-Age+1,'Q-Rates'!$BC$8:$BD$128,2,0),1))</f>
        <v>0</v>
      </c>
      <c r="M98" s="45">
        <f>RI!Y76/1000</f>
        <v>0</v>
      </c>
      <c r="N98" s="45">
        <f>RI!Z76/1000</f>
        <v>0</v>
      </c>
      <c r="O98" s="45">
        <f>RI!AB76/1000</f>
        <v>0</v>
      </c>
      <c r="P98" s="45">
        <f>RI!AC76/1000</f>
        <v>0</v>
      </c>
      <c r="Q98" s="45">
        <f>RI!AE76/1000</f>
        <v>0</v>
      </c>
      <c r="R98" s="45">
        <f>RI!AF76/1000</f>
        <v>0</v>
      </c>
      <c r="S98" s="45">
        <f>RI!AH76/1000</f>
        <v>0</v>
      </c>
      <c r="T98" s="45">
        <f>RI!AI76/1000</f>
        <v>0</v>
      </c>
      <c r="U98" s="45"/>
      <c r="V98" s="45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7">
        <v>0</v>
      </c>
      <c r="AO98" s="20">
        <f t="shared" si="28"/>
        <v>91</v>
      </c>
      <c r="AP98" s="48">
        <v>0</v>
      </c>
      <c r="AQ98" s="49">
        <v>0.1</v>
      </c>
      <c r="AR98" s="49">
        <f>IF($AO98&gt;[1]Basic!$D$29,0,VLOOKUP(MIN($AO98,6),[1]Specs!$Q$5:$R$11,2,0))</f>
        <v>0</v>
      </c>
      <c r="AS98" s="49">
        <v>0.08</v>
      </c>
      <c r="AT98" s="50">
        <f t="shared" si="20"/>
        <v>0</v>
      </c>
      <c r="AV98" s="20">
        <f t="shared" si="29"/>
        <v>91</v>
      </c>
      <c r="AW98" s="51">
        <f t="shared" si="21"/>
        <v>0</v>
      </c>
      <c r="AX98" s="23">
        <f t="shared" si="22"/>
        <v>0.1</v>
      </c>
      <c r="AY98" s="23">
        <f t="shared" si="23"/>
        <v>0</v>
      </c>
      <c r="AZ98" s="23">
        <f t="shared" si="24"/>
        <v>0.08</v>
      </c>
      <c r="BA98" s="52">
        <f t="shared" si="25"/>
        <v>0</v>
      </c>
      <c r="BC98" s="20">
        <f t="shared" si="30"/>
        <v>91</v>
      </c>
      <c r="BD98" s="51">
        <f t="shared" si="31"/>
        <v>0.99999999999999989</v>
      </c>
      <c r="BE98" s="52"/>
    </row>
    <row r="99" spans="2:57" x14ac:dyDescent="0.2">
      <c r="B99" s="20">
        <f t="shared" si="26"/>
        <v>91</v>
      </c>
      <c r="C99" s="44">
        <v>0.24410999999999999</v>
      </c>
      <c r="D99" s="45">
        <v>0.21768000000000001</v>
      </c>
      <c r="E99" s="45">
        <v>0.21051600000000001</v>
      </c>
      <c r="F99" s="45">
        <v>0.16852</v>
      </c>
      <c r="G99" s="45">
        <f>(M99*($G$4+$H$2)+$G$5*O99)*(IF(B99&gt;=Age,$G$1*VLOOKUP('Q-Rates'!B99-Age+1,'Q-Rates'!$BC$8:$BD$128,2,0),1))</f>
        <v>0</v>
      </c>
      <c r="H99" s="45">
        <f>(N99*($H$4+$H$2)+$H$5*P99)*(IF(B99&gt;=Age,$G$1*VLOOKUP('Q-Rates'!B99-Age+1,'Q-Rates'!$BC$8:$BD$128,2,0),1))</f>
        <v>0</v>
      </c>
      <c r="I99" s="45">
        <f t="shared" si="32"/>
        <v>0</v>
      </c>
      <c r="J99" s="45">
        <f t="shared" si="27"/>
        <v>0</v>
      </c>
      <c r="K99" s="45">
        <f>(S99*$K$5)*(IF(B99&gt;=Age,$K$1*VLOOKUP('Q-Rates'!B99-Age+1,'Q-Rates'!$BC$8:$BD$128,2,0),1))</f>
        <v>0</v>
      </c>
      <c r="L99" s="45">
        <f>(T99*$L$5)*(IF(B99&gt;=Age,$L$1*VLOOKUP('Q-Rates'!B99-Age+1,'Q-Rates'!$BC$8:$BD$128,2,0),1))</f>
        <v>0</v>
      </c>
      <c r="M99" s="45">
        <f>RI!Y77/1000</f>
        <v>0</v>
      </c>
      <c r="N99" s="45">
        <f>RI!Z77/1000</f>
        <v>0</v>
      </c>
      <c r="O99" s="45">
        <f>RI!AB77/1000</f>
        <v>0</v>
      </c>
      <c r="P99" s="45">
        <f>RI!AC77/1000</f>
        <v>0</v>
      </c>
      <c r="Q99" s="45">
        <f>RI!AE77/1000</f>
        <v>0</v>
      </c>
      <c r="R99" s="45">
        <f>RI!AF77/1000</f>
        <v>0</v>
      </c>
      <c r="S99" s="45">
        <f>RI!AH77/1000</f>
        <v>0</v>
      </c>
      <c r="T99" s="45">
        <f>RI!AI77/1000</f>
        <v>0</v>
      </c>
      <c r="U99" s="45"/>
      <c r="V99" s="45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7">
        <v>0</v>
      </c>
      <c r="AO99" s="20">
        <f t="shared" si="28"/>
        <v>92</v>
      </c>
      <c r="AP99" s="48">
        <v>0</v>
      </c>
      <c r="AQ99" s="49">
        <v>0.1</v>
      </c>
      <c r="AR99" s="49">
        <f>IF($AO99&gt;[1]Basic!$D$29,0,VLOOKUP(MIN($AO99,6),[1]Specs!$Q$5:$R$11,2,0))</f>
        <v>0</v>
      </c>
      <c r="AS99" s="49">
        <v>0.08</v>
      </c>
      <c r="AT99" s="50">
        <f t="shared" si="20"/>
        <v>0</v>
      </c>
      <c r="AV99" s="20">
        <f t="shared" si="29"/>
        <v>92</v>
      </c>
      <c r="AW99" s="51">
        <f t="shared" si="21"/>
        <v>0</v>
      </c>
      <c r="AX99" s="23">
        <f t="shared" si="22"/>
        <v>0.1</v>
      </c>
      <c r="AY99" s="23">
        <f t="shared" si="23"/>
        <v>0</v>
      </c>
      <c r="AZ99" s="23">
        <f t="shared" si="24"/>
        <v>0.08</v>
      </c>
      <c r="BA99" s="52">
        <f t="shared" si="25"/>
        <v>0</v>
      </c>
      <c r="BC99" s="20">
        <f t="shared" si="30"/>
        <v>92</v>
      </c>
      <c r="BD99" s="51">
        <f t="shared" si="31"/>
        <v>0.99999999999999989</v>
      </c>
      <c r="BE99" s="52"/>
    </row>
    <row r="100" spans="2:57" x14ac:dyDescent="0.2">
      <c r="B100" s="20">
        <f t="shared" si="26"/>
        <v>92</v>
      </c>
      <c r="C100" s="44">
        <v>0.26143</v>
      </c>
      <c r="D100" s="45">
        <v>0.23869000000000001</v>
      </c>
      <c r="E100" s="45">
        <v>0.22843800000000003</v>
      </c>
      <c r="F100" s="45">
        <v>0.18392199999999997</v>
      </c>
      <c r="G100" s="45">
        <f>(M100*($G$4+$H$2)+$G$5*O100)*(IF(B100&gt;=Age,$G$1*VLOOKUP('Q-Rates'!B100-Age+1,'Q-Rates'!$BC$8:$BD$128,2,0),1))</f>
        <v>0</v>
      </c>
      <c r="H100" s="45">
        <f>(N100*($H$4+$H$2)+$H$5*P100)*(IF(B100&gt;=Age,$G$1*VLOOKUP('Q-Rates'!B100-Age+1,'Q-Rates'!$BC$8:$BD$128,2,0),1))</f>
        <v>0</v>
      </c>
      <c r="I100" s="45">
        <f t="shared" si="32"/>
        <v>0</v>
      </c>
      <c r="J100" s="45">
        <f t="shared" si="27"/>
        <v>0</v>
      </c>
      <c r="K100" s="45">
        <f>(S100*$K$5)*(IF(B100&gt;=Age,$K$1*VLOOKUP('Q-Rates'!B100-Age+1,'Q-Rates'!$BC$8:$BD$128,2,0),1))</f>
        <v>0</v>
      </c>
      <c r="L100" s="45">
        <f>(T100*$L$5)*(IF(B100&gt;=Age,$L$1*VLOOKUP('Q-Rates'!B100-Age+1,'Q-Rates'!$BC$8:$BD$128,2,0),1))</f>
        <v>0</v>
      </c>
      <c r="M100" s="45">
        <f>RI!Y78/1000</f>
        <v>0</v>
      </c>
      <c r="N100" s="45">
        <f>RI!Z78/1000</f>
        <v>0</v>
      </c>
      <c r="O100" s="45">
        <f>RI!AB78/1000</f>
        <v>0</v>
      </c>
      <c r="P100" s="45">
        <f>RI!AC78/1000</f>
        <v>0</v>
      </c>
      <c r="Q100" s="45">
        <f>RI!AE78/1000</f>
        <v>0</v>
      </c>
      <c r="R100" s="45">
        <f>RI!AF78/1000</f>
        <v>0</v>
      </c>
      <c r="S100" s="45">
        <f>RI!AH78/1000</f>
        <v>0</v>
      </c>
      <c r="T100" s="45">
        <f>RI!AI78/1000</f>
        <v>0</v>
      </c>
      <c r="U100" s="45"/>
      <c r="V100" s="45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7">
        <v>0</v>
      </c>
      <c r="AO100" s="20">
        <f t="shared" si="28"/>
        <v>93</v>
      </c>
      <c r="AP100" s="48">
        <v>0</v>
      </c>
      <c r="AQ100" s="49">
        <v>0.1</v>
      </c>
      <c r="AR100" s="49">
        <f>IF($AO100&gt;[1]Basic!$D$29,0,VLOOKUP(MIN($AO100,6),[1]Specs!$Q$5:$R$11,2,0))</f>
        <v>0</v>
      </c>
      <c r="AS100" s="49">
        <v>0.08</v>
      </c>
      <c r="AT100" s="50">
        <f t="shared" si="20"/>
        <v>0</v>
      </c>
      <c r="AV100" s="20">
        <f t="shared" si="29"/>
        <v>93</v>
      </c>
      <c r="AW100" s="51">
        <f t="shared" si="21"/>
        <v>0</v>
      </c>
      <c r="AX100" s="23">
        <f t="shared" si="22"/>
        <v>0.1</v>
      </c>
      <c r="AY100" s="23">
        <f t="shared" si="23"/>
        <v>0</v>
      </c>
      <c r="AZ100" s="23">
        <f t="shared" si="24"/>
        <v>0.08</v>
      </c>
      <c r="BA100" s="52">
        <f t="shared" si="25"/>
        <v>0</v>
      </c>
      <c r="BC100" s="20">
        <f t="shared" si="30"/>
        <v>93</v>
      </c>
      <c r="BD100" s="51">
        <f t="shared" si="31"/>
        <v>0.99999999999999989</v>
      </c>
      <c r="BE100" s="52"/>
    </row>
    <row r="101" spans="2:57" x14ac:dyDescent="0.2">
      <c r="B101" s="20">
        <f t="shared" si="26"/>
        <v>93</v>
      </c>
      <c r="C101" s="44">
        <v>0.28212999999999999</v>
      </c>
      <c r="D101" s="45">
        <v>0.26340999999999998</v>
      </c>
      <c r="E101" s="45">
        <v>0.24772400000000003</v>
      </c>
      <c r="F101" s="45">
        <v>0.20254000000000003</v>
      </c>
      <c r="G101" s="45">
        <f>(M101*($G$4+$H$2)+$G$5*O101)*(IF(B101&gt;=Age,$G$1*VLOOKUP('Q-Rates'!B101-Age+1,'Q-Rates'!$BC$8:$BD$128,2,0),1))</f>
        <v>0</v>
      </c>
      <c r="H101" s="45">
        <f>(N101*($H$4+$H$2)+$H$5*P101)*(IF(B101&gt;=Age,$G$1*VLOOKUP('Q-Rates'!B101-Age+1,'Q-Rates'!$BC$8:$BD$128,2,0),1))</f>
        <v>0</v>
      </c>
      <c r="I101" s="45">
        <f t="shared" si="32"/>
        <v>0</v>
      </c>
      <c r="J101" s="45">
        <f t="shared" si="27"/>
        <v>0</v>
      </c>
      <c r="K101" s="45">
        <f>(S101*$K$5)*(IF(B101&gt;=Age,$K$1*VLOOKUP('Q-Rates'!B101-Age+1,'Q-Rates'!$BC$8:$BD$128,2,0),1))</f>
        <v>0</v>
      </c>
      <c r="L101" s="45">
        <f>(T101*$L$5)*(IF(B101&gt;=Age,$L$1*VLOOKUP('Q-Rates'!B101-Age+1,'Q-Rates'!$BC$8:$BD$128,2,0),1))</f>
        <v>0</v>
      </c>
      <c r="M101" s="45">
        <f>RI!Y79/1000</f>
        <v>0</v>
      </c>
      <c r="N101" s="45">
        <f>RI!Z79/1000</f>
        <v>0</v>
      </c>
      <c r="O101" s="45">
        <f>RI!AB79/1000</f>
        <v>0</v>
      </c>
      <c r="P101" s="45">
        <f>RI!AC79/1000</f>
        <v>0</v>
      </c>
      <c r="Q101" s="45">
        <f>RI!AE79/1000</f>
        <v>0</v>
      </c>
      <c r="R101" s="45">
        <f>RI!AF79/1000</f>
        <v>0</v>
      </c>
      <c r="S101" s="45">
        <f>RI!AH79/1000</f>
        <v>0</v>
      </c>
      <c r="T101" s="45">
        <f>RI!AI79/1000</f>
        <v>0</v>
      </c>
      <c r="U101" s="45"/>
      <c r="V101" s="45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>
        <v>0</v>
      </c>
      <c r="AO101" s="20">
        <f t="shared" si="28"/>
        <v>94</v>
      </c>
      <c r="AP101" s="48">
        <v>0</v>
      </c>
      <c r="AQ101" s="49">
        <v>0.1</v>
      </c>
      <c r="AR101" s="49">
        <f>IF($AO101&gt;[1]Basic!$D$29,0,VLOOKUP(MIN($AO101,6),[1]Specs!$Q$5:$R$11,2,0))</f>
        <v>0</v>
      </c>
      <c r="AS101" s="49">
        <v>0.08</v>
      </c>
      <c r="AT101" s="50">
        <f t="shared" si="20"/>
        <v>0</v>
      </c>
      <c r="AV101" s="20">
        <f t="shared" si="29"/>
        <v>94</v>
      </c>
      <c r="AW101" s="51">
        <f t="shared" si="21"/>
        <v>0</v>
      </c>
      <c r="AX101" s="23">
        <f t="shared" si="22"/>
        <v>0.1</v>
      </c>
      <c r="AY101" s="23">
        <f t="shared" si="23"/>
        <v>0</v>
      </c>
      <c r="AZ101" s="23">
        <f t="shared" si="24"/>
        <v>0.08</v>
      </c>
      <c r="BA101" s="52">
        <f t="shared" si="25"/>
        <v>0</v>
      </c>
      <c r="BC101" s="20">
        <f t="shared" si="30"/>
        <v>94</v>
      </c>
      <c r="BD101" s="51">
        <f t="shared" si="31"/>
        <v>0.99999999999999989</v>
      </c>
      <c r="BE101" s="52"/>
    </row>
    <row r="102" spans="2:57" x14ac:dyDescent="0.2">
      <c r="B102" s="20">
        <f t="shared" si="26"/>
        <v>94</v>
      </c>
      <c r="C102" s="44">
        <v>0.30997000000000002</v>
      </c>
      <c r="D102" s="45">
        <v>0.29522999999999999</v>
      </c>
      <c r="E102" s="45">
        <v>0.26845600000000003</v>
      </c>
      <c r="F102" s="45">
        <v>0.227246</v>
      </c>
      <c r="G102" s="45">
        <f>(M102*($G$4+$H$2)+$G$5*O102)*(IF(B102&gt;=Age,$G$1*VLOOKUP('Q-Rates'!B102-Age+1,'Q-Rates'!$BC$8:$BD$128,2,0),1))</f>
        <v>0</v>
      </c>
      <c r="H102" s="45">
        <f>(N102*($H$4+$H$2)+$H$5*P102)*(IF(B102&gt;=Age,$G$1*VLOOKUP('Q-Rates'!B102-Age+1,'Q-Rates'!$BC$8:$BD$128,2,0),1))</f>
        <v>0</v>
      </c>
      <c r="I102" s="45">
        <f t="shared" si="32"/>
        <v>0</v>
      </c>
      <c r="J102" s="45">
        <f t="shared" si="27"/>
        <v>0</v>
      </c>
      <c r="K102" s="45">
        <f>(S102*$K$5)*(IF(B102&gt;=Age,$K$1*VLOOKUP('Q-Rates'!B102-Age+1,'Q-Rates'!$BC$8:$BD$128,2,0),1))</f>
        <v>0</v>
      </c>
      <c r="L102" s="45">
        <f>(T102*$L$5)*(IF(B102&gt;=Age,$L$1*VLOOKUP('Q-Rates'!B102-Age+1,'Q-Rates'!$BC$8:$BD$128,2,0),1))</f>
        <v>0</v>
      </c>
      <c r="M102" s="45">
        <f>RI!Y80/1000</f>
        <v>0</v>
      </c>
      <c r="N102" s="45">
        <f>RI!Z80/1000</f>
        <v>0</v>
      </c>
      <c r="O102" s="45">
        <f>RI!AB80/1000</f>
        <v>0</v>
      </c>
      <c r="P102" s="45">
        <f>RI!AC80/1000</f>
        <v>0</v>
      </c>
      <c r="Q102" s="45">
        <f>RI!AE80/1000</f>
        <v>0</v>
      </c>
      <c r="R102" s="45">
        <f>RI!AF80/1000</f>
        <v>0</v>
      </c>
      <c r="S102" s="45">
        <f>RI!AH80/1000</f>
        <v>0</v>
      </c>
      <c r="T102" s="45">
        <f>RI!AI80/1000</f>
        <v>0</v>
      </c>
      <c r="U102" s="45"/>
      <c r="V102" s="45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7">
        <v>0</v>
      </c>
      <c r="AO102" s="20">
        <f t="shared" si="28"/>
        <v>95</v>
      </c>
      <c r="AP102" s="48">
        <v>0</v>
      </c>
      <c r="AQ102" s="49">
        <v>0.1</v>
      </c>
      <c r="AR102" s="49">
        <f>IF($AO102&gt;[1]Basic!$D$29,0,VLOOKUP(MIN($AO102,6),[1]Specs!$Q$5:$R$11,2,0))</f>
        <v>0</v>
      </c>
      <c r="AS102" s="49">
        <v>0.08</v>
      </c>
      <c r="AT102" s="50">
        <f t="shared" si="20"/>
        <v>0</v>
      </c>
      <c r="AV102" s="20">
        <f t="shared" si="29"/>
        <v>95</v>
      </c>
      <c r="AW102" s="51">
        <f t="shared" si="21"/>
        <v>0</v>
      </c>
      <c r="AX102" s="23">
        <f t="shared" si="22"/>
        <v>0.1</v>
      </c>
      <c r="AY102" s="23">
        <f t="shared" si="23"/>
        <v>0</v>
      </c>
      <c r="AZ102" s="23">
        <f t="shared" si="24"/>
        <v>0.08</v>
      </c>
      <c r="BA102" s="52">
        <f t="shared" si="25"/>
        <v>0</v>
      </c>
      <c r="BC102" s="20">
        <f t="shared" si="30"/>
        <v>95</v>
      </c>
      <c r="BD102" s="51">
        <f t="shared" si="31"/>
        <v>0.99999999999999989</v>
      </c>
      <c r="BE102" s="52"/>
    </row>
    <row r="103" spans="2:57" x14ac:dyDescent="0.2">
      <c r="B103" s="20">
        <f t="shared" si="26"/>
        <v>95</v>
      </c>
      <c r="C103" s="44">
        <v>0.35186000000000001</v>
      </c>
      <c r="D103" s="45">
        <v>0.34101999999999999</v>
      </c>
      <c r="E103" s="45">
        <v>0.29074</v>
      </c>
      <c r="F103" s="45">
        <v>0.263548</v>
      </c>
      <c r="G103" s="45">
        <f>(M103*($G$4+$H$2)+$G$5*O103)*(IF(B103&gt;=Age,$G$1*VLOOKUP('Q-Rates'!B103-Age+1,'Q-Rates'!$BC$8:$BD$128,2,0),1))</f>
        <v>0</v>
      </c>
      <c r="H103" s="45">
        <f>(N103*($H$4+$H$2)+$H$5*P103)*(IF(B103&gt;=Age,$G$1*VLOOKUP('Q-Rates'!B103-Age+1,'Q-Rates'!$BC$8:$BD$128,2,0),1))</f>
        <v>0</v>
      </c>
      <c r="I103" s="45">
        <f t="shared" si="32"/>
        <v>0</v>
      </c>
      <c r="J103" s="45">
        <f t="shared" si="27"/>
        <v>0</v>
      </c>
      <c r="K103" s="45">
        <f>(S103*$K$5)*(IF(B103&gt;=Age,$K$1*VLOOKUP('Q-Rates'!B103-Age+1,'Q-Rates'!$BC$8:$BD$128,2,0),1))</f>
        <v>0</v>
      </c>
      <c r="L103" s="45">
        <f>(T103*$L$5)*(IF(B103&gt;=Age,$L$1*VLOOKUP('Q-Rates'!B103-Age+1,'Q-Rates'!$BC$8:$BD$128,2,0),1))</f>
        <v>0</v>
      </c>
      <c r="M103" s="45">
        <f>RI!Y81/1000</f>
        <v>0</v>
      </c>
      <c r="N103" s="45">
        <f>RI!Z81/1000</f>
        <v>0</v>
      </c>
      <c r="O103" s="45">
        <f>RI!AB81/1000</f>
        <v>0</v>
      </c>
      <c r="P103" s="45">
        <f>RI!AC81/1000</f>
        <v>0</v>
      </c>
      <c r="Q103" s="45">
        <f>RI!AE81/1000</f>
        <v>0</v>
      </c>
      <c r="R103" s="45">
        <f>RI!AF81/1000</f>
        <v>0</v>
      </c>
      <c r="S103" s="45">
        <f>RI!AH81/1000</f>
        <v>0</v>
      </c>
      <c r="T103" s="45">
        <f>RI!AI81/1000</f>
        <v>0</v>
      </c>
      <c r="U103" s="45"/>
      <c r="V103" s="45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7">
        <v>0</v>
      </c>
      <c r="AO103" s="20">
        <f t="shared" si="28"/>
        <v>96</v>
      </c>
      <c r="AP103" s="48">
        <v>0</v>
      </c>
      <c r="AQ103" s="49">
        <v>0.1</v>
      </c>
      <c r="AR103" s="49">
        <f>IF($AO103&gt;[1]Basic!$D$29,0,VLOOKUP(MIN($AO103,6),[1]Specs!$Q$5:$R$11,2,0))</f>
        <v>0</v>
      </c>
      <c r="AS103" s="49">
        <v>0.08</v>
      </c>
      <c r="AT103" s="50">
        <f t="shared" si="20"/>
        <v>0</v>
      </c>
      <c r="AV103" s="20">
        <f t="shared" si="29"/>
        <v>96</v>
      </c>
      <c r="AW103" s="51">
        <f t="shared" si="21"/>
        <v>0</v>
      </c>
      <c r="AX103" s="23">
        <f t="shared" si="22"/>
        <v>0.1</v>
      </c>
      <c r="AY103" s="23">
        <f t="shared" si="23"/>
        <v>0</v>
      </c>
      <c r="AZ103" s="23">
        <f t="shared" si="24"/>
        <v>0.08</v>
      </c>
      <c r="BA103" s="52">
        <f t="shared" si="25"/>
        <v>0</v>
      </c>
      <c r="BC103" s="20">
        <f t="shared" si="30"/>
        <v>96</v>
      </c>
      <c r="BD103" s="51">
        <f t="shared" si="31"/>
        <v>0.99999999999999989</v>
      </c>
      <c r="BE103" s="52"/>
    </row>
    <row r="104" spans="2:57" x14ac:dyDescent="0.2">
      <c r="B104" s="20">
        <f t="shared" si="26"/>
        <v>96</v>
      </c>
      <c r="C104" s="44">
        <v>0.42098999999999998</v>
      </c>
      <c r="D104" s="45">
        <v>0.41388000000000003</v>
      </c>
      <c r="E104" s="45">
        <v>0.31467399999999995</v>
      </c>
      <c r="F104" s="45">
        <v>0.32125799999999999</v>
      </c>
      <c r="G104" s="45">
        <f>(M104*($G$4+$H$2)+$G$5*O104)*(IF(B104&gt;=Age,$G$1*VLOOKUP('Q-Rates'!B104-Age+1,'Q-Rates'!$BC$8:$BD$128,2,0),1))</f>
        <v>0</v>
      </c>
      <c r="H104" s="45">
        <f>(N104*($H$4+$H$2)+$H$5*P104)*(IF(B104&gt;=Age,$G$1*VLOOKUP('Q-Rates'!B104-Age+1,'Q-Rates'!$BC$8:$BD$128,2,0),1))</f>
        <v>0</v>
      </c>
      <c r="I104" s="45">
        <f t="shared" si="32"/>
        <v>0</v>
      </c>
      <c r="J104" s="45">
        <f t="shared" si="27"/>
        <v>0</v>
      </c>
      <c r="K104" s="45">
        <f>(S104*$K$5)*(IF(B104&gt;=Age,$K$1*VLOOKUP('Q-Rates'!B104-Age+1,'Q-Rates'!$BC$8:$BD$128,2,0),1))</f>
        <v>0</v>
      </c>
      <c r="L104" s="45">
        <f>(T104*$L$5)*(IF(B104&gt;=Age,$L$1*VLOOKUP('Q-Rates'!B104-Age+1,'Q-Rates'!$BC$8:$BD$128,2,0),1))</f>
        <v>0</v>
      </c>
      <c r="M104" s="45">
        <f>RI!Y82/1000</f>
        <v>0</v>
      </c>
      <c r="N104" s="45">
        <f>RI!Z82/1000</f>
        <v>0</v>
      </c>
      <c r="O104" s="45">
        <f>RI!AB82/1000</f>
        <v>0</v>
      </c>
      <c r="P104" s="45">
        <f>RI!AC82/1000</f>
        <v>0</v>
      </c>
      <c r="Q104" s="45">
        <f>RI!AE82/1000</f>
        <v>0</v>
      </c>
      <c r="R104" s="45">
        <f>RI!AF82/1000</f>
        <v>0</v>
      </c>
      <c r="S104" s="45">
        <f>RI!AH82/1000</f>
        <v>0</v>
      </c>
      <c r="T104" s="45">
        <f>RI!AI82/1000</f>
        <v>0</v>
      </c>
      <c r="U104" s="45"/>
      <c r="V104" s="45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>
        <v>0</v>
      </c>
      <c r="AO104" s="20">
        <f t="shared" si="28"/>
        <v>97</v>
      </c>
      <c r="AP104" s="48">
        <v>0</v>
      </c>
      <c r="AQ104" s="49">
        <v>0.1</v>
      </c>
      <c r="AR104" s="49">
        <f>IF($AO104&gt;[1]Basic!$D$29,0,VLOOKUP(MIN($AO104,6),[1]Specs!$Q$5:$R$11,2,0))</f>
        <v>0</v>
      </c>
      <c r="AS104" s="49">
        <v>0.08</v>
      </c>
      <c r="AT104" s="50">
        <f t="shared" si="20"/>
        <v>0</v>
      </c>
      <c r="AV104" s="20">
        <f t="shared" si="29"/>
        <v>97</v>
      </c>
      <c r="AW104" s="51">
        <f t="shared" ref="AW104:AW128" si="33">AP104*Lapse_Sens</f>
        <v>0</v>
      </c>
      <c r="AX104" s="23">
        <f t="shared" ref="AX104:AX128" si="34">AQ104*Lapse_Sens</f>
        <v>0.1</v>
      </c>
      <c r="AY104" s="23">
        <f t="shared" ref="AY104:AY128" si="35">AR104*Lapse_Sens</f>
        <v>0</v>
      </c>
      <c r="AZ104" s="23">
        <f t="shared" ref="AZ104:AZ128" si="36">AS104*Lapse_Sens</f>
        <v>0.08</v>
      </c>
      <c r="BA104" s="52">
        <f t="shared" ref="BA104:BA128" si="37">AT104*Lapse_Sens</f>
        <v>0</v>
      </c>
      <c r="BC104" s="20">
        <f t="shared" si="30"/>
        <v>97</v>
      </c>
      <c r="BD104" s="51">
        <f t="shared" si="31"/>
        <v>0.99999999999999989</v>
      </c>
      <c r="BE104" s="52"/>
    </row>
    <row r="105" spans="2:57" x14ac:dyDescent="0.2">
      <c r="B105" s="20">
        <f t="shared" si="26"/>
        <v>97</v>
      </c>
      <c r="C105" s="44">
        <v>0.54100000000000004</v>
      </c>
      <c r="D105" s="45">
        <v>0.53724000000000005</v>
      </c>
      <c r="E105" s="45">
        <v>0.34035400000000005</v>
      </c>
      <c r="F105" s="45">
        <v>0.41416599999999998</v>
      </c>
      <c r="G105" s="45">
        <f>(M105*($G$4+$H$2)+$G$5*O105)*(IF(B105&gt;=Age,$G$1*VLOOKUP('Q-Rates'!B105-Age+1,'Q-Rates'!$BC$8:$BD$128,2,0),1))</f>
        <v>0</v>
      </c>
      <c r="H105" s="45">
        <f>(N105*($H$4+$H$2)+$H$5*P105)*(IF(B105&gt;=Age,$G$1*VLOOKUP('Q-Rates'!B105-Age+1,'Q-Rates'!$BC$8:$BD$128,2,0),1))</f>
        <v>0</v>
      </c>
      <c r="I105" s="45">
        <f t="shared" si="32"/>
        <v>0</v>
      </c>
      <c r="J105" s="45">
        <f t="shared" si="27"/>
        <v>0</v>
      </c>
      <c r="K105" s="45">
        <f>(S105*$K$5)*(IF(B105&gt;=Age,$K$1*VLOOKUP('Q-Rates'!B105-Age+1,'Q-Rates'!$BC$8:$BD$128,2,0),1))</f>
        <v>0</v>
      </c>
      <c r="L105" s="45">
        <f>(T105*$L$5)*(IF(B105&gt;=Age,$L$1*VLOOKUP('Q-Rates'!B105-Age+1,'Q-Rates'!$BC$8:$BD$128,2,0),1))</f>
        <v>0</v>
      </c>
      <c r="M105" s="45">
        <f>RI!Y83/1000</f>
        <v>0</v>
      </c>
      <c r="N105" s="45">
        <f>RI!Z83/1000</f>
        <v>0</v>
      </c>
      <c r="O105" s="45">
        <f>RI!AB83/1000</f>
        <v>0</v>
      </c>
      <c r="P105" s="45">
        <f>RI!AC83/1000</f>
        <v>0</v>
      </c>
      <c r="Q105" s="45">
        <f>RI!AE83/1000</f>
        <v>0</v>
      </c>
      <c r="R105" s="45">
        <f>RI!AF83/1000</f>
        <v>0</v>
      </c>
      <c r="S105" s="45">
        <f>RI!AH83/1000</f>
        <v>0</v>
      </c>
      <c r="T105" s="45">
        <f>RI!AI83/1000</f>
        <v>0</v>
      </c>
      <c r="U105" s="45"/>
      <c r="V105" s="45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7">
        <v>0</v>
      </c>
      <c r="AO105" s="20">
        <f t="shared" si="28"/>
        <v>98</v>
      </c>
      <c r="AP105" s="48">
        <v>0</v>
      </c>
      <c r="AQ105" s="49">
        <v>0.1</v>
      </c>
      <c r="AR105" s="49">
        <f>IF($AO105&gt;[1]Basic!$D$29,0,VLOOKUP(MIN($AO105,6),[1]Specs!$Q$5:$R$11,2,0))</f>
        <v>0</v>
      </c>
      <c r="AS105" s="49">
        <v>0.08</v>
      </c>
      <c r="AT105" s="50">
        <f t="shared" si="20"/>
        <v>0</v>
      </c>
      <c r="AV105" s="20">
        <f t="shared" si="29"/>
        <v>98</v>
      </c>
      <c r="AW105" s="51">
        <f t="shared" si="33"/>
        <v>0</v>
      </c>
      <c r="AX105" s="23">
        <f t="shared" si="34"/>
        <v>0.1</v>
      </c>
      <c r="AY105" s="23">
        <f t="shared" si="35"/>
        <v>0</v>
      </c>
      <c r="AZ105" s="23">
        <f t="shared" si="36"/>
        <v>0.08</v>
      </c>
      <c r="BA105" s="52">
        <f t="shared" si="37"/>
        <v>0</v>
      </c>
      <c r="BC105" s="20">
        <f t="shared" si="30"/>
        <v>98</v>
      </c>
      <c r="BD105" s="51">
        <f t="shared" si="31"/>
        <v>0.99999999999999989</v>
      </c>
      <c r="BE105" s="52"/>
    </row>
    <row r="106" spans="2:57" x14ac:dyDescent="0.2">
      <c r="B106" s="20">
        <f t="shared" si="26"/>
        <v>98</v>
      </c>
      <c r="C106" s="44">
        <v>0.74514999999999998</v>
      </c>
      <c r="D106" s="45">
        <v>0.74395999999999995</v>
      </c>
      <c r="E106" s="45">
        <v>0.350856</v>
      </c>
      <c r="F106" s="45">
        <v>0.52795999999999998</v>
      </c>
      <c r="G106" s="45">
        <f>(M106*($G$4+$H$2)+$G$5*O106)*(IF(B106&gt;=Age,$G$1*VLOOKUP('Q-Rates'!B106-Age+1,'Q-Rates'!$BC$8:$BD$128,2,0),1))</f>
        <v>0</v>
      </c>
      <c r="H106" s="45">
        <f>(N106*($H$4+$H$2)+$H$5*P106)*(IF(B106&gt;=Age,$G$1*VLOOKUP('Q-Rates'!B106-Age+1,'Q-Rates'!$BC$8:$BD$128,2,0),1))</f>
        <v>0</v>
      </c>
      <c r="I106" s="45">
        <f t="shared" si="32"/>
        <v>0</v>
      </c>
      <c r="J106" s="45">
        <f t="shared" si="27"/>
        <v>0</v>
      </c>
      <c r="K106" s="45">
        <f>(S106*$K$5)*(IF(B106&gt;=Age,$K$1*VLOOKUP('Q-Rates'!B106-Age+1,'Q-Rates'!$BC$8:$BD$128,2,0),1))</f>
        <v>0</v>
      </c>
      <c r="L106" s="45">
        <f>(T106*$L$5)*(IF(B106&gt;=Age,$L$1*VLOOKUP('Q-Rates'!B106-Age+1,'Q-Rates'!$BC$8:$BD$128,2,0),1))</f>
        <v>0</v>
      </c>
      <c r="M106" s="45">
        <f>RI!Y84/1000</f>
        <v>0</v>
      </c>
      <c r="N106" s="45">
        <f>RI!Z84/1000</f>
        <v>0</v>
      </c>
      <c r="O106" s="45">
        <f>RI!AB84/1000</f>
        <v>0</v>
      </c>
      <c r="P106" s="45">
        <f>RI!AC84/1000</f>
        <v>0</v>
      </c>
      <c r="Q106" s="45">
        <f>RI!AE84/1000</f>
        <v>0</v>
      </c>
      <c r="R106" s="45">
        <f>RI!AF84/1000</f>
        <v>0</v>
      </c>
      <c r="S106" s="45">
        <f>RI!AH84/1000</f>
        <v>0</v>
      </c>
      <c r="T106" s="45">
        <f>RI!AI84/1000</f>
        <v>0</v>
      </c>
      <c r="U106" s="45"/>
      <c r="V106" s="45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7">
        <v>0</v>
      </c>
      <c r="AO106" s="20">
        <f t="shared" si="28"/>
        <v>99</v>
      </c>
      <c r="AP106" s="48">
        <v>0</v>
      </c>
      <c r="AQ106" s="49">
        <v>0.1</v>
      </c>
      <c r="AR106" s="49">
        <f>IF($AO106&gt;[1]Basic!$D$29,0,VLOOKUP(MIN($AO106,6),[1]Specs!$Q$5:$R$11,2,0))</f>
        <v>0</v>
      </c>
      <c r="AS106" s="49">
        <v>0.08</v>
      </c>
      <c r="AT106" s="50">
        <f t="shared" si="20"/>
        <v>0</v>
      </c>
      <c r="AV106" s="20">
        <f t="shared" si="29"/>
        <v>99</v>
      </c>
      <c r="AW106" s="51">
        <f t="shared" si="33"/>
        <v>0</v>
      </c>
      <c r="AX106" s="23">
        <f t="shared" si="34"/>
        <v>0.1</v>
      </c>
      <c r="AY106" s="23">
        <f t="shared" si="35"/>
        <v>0</v>
      </c>
      <c r="AZ106" s="23">
        <f t="shared" si="36"/>
        <v>0.08</v>
      </c>
      <c r="BA106" s="52">
        <f t="shared" si="37"/>
        <v>0</v>
      </c>
      <c r="BC106" s="20">
        <f t="shared" si="30"/>
        <v>99</v>
      </c>
      <c r="BD106" s="51">
        <f t="shared" si="31"/>
        <v>0.99999999999999989</v>
      </c>
      <c r="BE106" s="52"/>
    </row>
    <row r="107" spans="2:57" x14ac:dyDescent="0.2">
      <c r="B107" s="20">
        <f t="shared" si="26"/>
        <v>99</v>
      </c>
      <c r="C107" s="44">
        <v>1</v>
      </c>
      <c r="D107" s="45">
        <v>1</v>
      </c>
      <c r="E107" s="45">
        <v>0.75378000000000001</v>
      </c>
      <c r="F107" s="45">
        <v>0.71437200000000012</v>
      </c>
      <c r="G107" s="45">
        <f>(M107*($G$4+$H$2)+$G$5*O107)*(IF(B107&gt;=Age,$G$1*VLOOKUP('Q-Rates'!B107-Age+1,'Q-Rates'!$BC$8:$BD$128,2,0),1))</f>
        <v>0</v>
      </c>
      <c r="H107" s="45">
        <f>(N107*($H$4+$H$2)+$H$5*P107)*(IF(B107&gt;=Age,$G$1*VLOOKUP('Q-Rates'!B107-Age+1,'Q-Rates'!$BC$8:$BD$128,2,0),1))</f>
        <v>0</v>
      </c>
      <c r="I107" s="45">
        <f t="shared" si="32"/>
        <v>0</v>
      </c>
      <c r="J107" s="45">
        <f t="shared" si="27"/>
        <v>0</v>
      </c>
      <c r="K107" s="45">
        <f>(S107*$K$5)*(IF(B107&gt;=Age,$K$1*VLOOKUP('Q-Rates'!B107-Age+1,'Q-Rates'!$BC$8:$BD$128,2,0),1))</f>
        <v>0</v>
      </c>
      <c r="L107" s="45">
        <f>(T107*$L$5)*(IF(B107&gt;=Age,$L$1*VLOOKUP('Q-Rates'!B107-Age+1,'Q-Rates'!$BC$8:$BD$128,2,0),1))</f>
        <v>0</v>
      </c>
      <c r="M107" s="45">
        <f>RI!Y85/1000</f>
        <v>0</v>
      </c>
      <c r="N107" s="45">
        <f>RI!Z85/1000</f>
        <v>0</v>
      </c>
      <c r="O107" s="45">
        <f>RI!AB85/1000</f>
        <v>0</v>
      </c>
      <c r="P107" s="45">
        <f>RI!AC85/1000</f>
        <v>0</v>
      </c>
      <c r="Q107" s="45">
        <f>RI!AE85/1000</f>
        <v>0</v>
      </c>
      <c r="R107" s="45">
        <f>RI!AF85/1000</f>
        <v>0</v>
      </c>
      <c r="S107" s="45">
        <f>RI!AH85/1000</f>
        <v>0</v>
      </c>
      <c r="T107" s="45">
        <f>RI!AI85/1000</f>
        <v>0</v>
      </c>
      <c r="U107" s="45"/>
      <c r="V107" s="45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>
        <v>0</v>
      </c>
      <c r="AO107" s="20">
        <f t="shared" si="28"/>
        <v>100</v>
      </c>
      <c r="AP107" s="48">
        <v>0</v>
      </c>
      <c r="AQ107" s="49">
        <v>0.1</v>
      </c>
      <c r="AR107" s="49">
        <f>IF($AO107&gt;[1]Basic!$D$29,0,VLOOKUP(MIN($AO107,6),[1]Specs!$Q$5:$R$11,2,0))</f>
        <v>0</v>
      </c>
      <c r="AS107" s="49">
        <v>0.08</v>
      </c>
      <c r="AT107" s="50">
        <f t="shared" si="20"/>
        <v>0</v>
      </c>
      <c r="AV107" s="20">
        <f t="shared" si="29"/>
        <v>100</v>
      </c>
      <c r="AW107" s="51">
        <f t="shared" si="33"/>
        <v>0</v>
      </c>
      <c r="AX107" s="23">
        <f t="shared" si="34"/>
        <v>0.1</v>
      </c>
      <c r="AY107" s="23">
        <f t="shared" si="35"/>
        <v>0</v>
      </c>
      <c r="AZ107" s="23">
        <f t="shared" si="36"/>
        <v>0.08</v>
      </c>
      <c r="BA107" s="52">
        <f t="shared" si="37"/>
        <v>0</v>
      </c>
      <c r="BC107" s="20">
        <f t="shared" si="30"/>
        <v>100</v>
      </c>
      <c r="BD107" s="51">
        <f t="shared" si="31"/>
        <v>0.99999999999999989</v>
      </c>
      <c r="BE107" s="52"/>
    </row>
    <row r="108" spans="2:57" x14ac:dyDescent="0.2">
      <c r="B108" s="20">
        <f t="shared" si="26"/>
        <v>100</v>
      </c>
      <c r="C108" s="44">
        <v>1</v>
      </c>
      <c r="D108" s="45">
        <v>1</v>
      </c>
      <c r="E108" s="45">
        <v>1</v>
      </c>
      <c r="F108" s="45">
        <v>1</v>
      </c>
      <c r="G108" s="45">
        <f>(M108*($G$4+$H$2)+$G$5*O108)*(IF(B108&gt;=Age,$G$1*VLOOKUP('Q-Rates'!B108-Age+1,'Q-Rates'!$BC$8:$BD$128,2,0),1))</f>
        <v>0</v>
      </c>
      <c r="H108" s="45">
        <f>(N108*($H$4+$H$2)+$H$5*P108)*(IF(B108&gt;=Age,$G$1*VLOOKUP('Q-Rates'!B108-Age+1,'Q-Rates'!$BC$8:$BD$128,2,0),1))</f>
        <v>0</v>
      </c>
      <c r="I108" s="45">
        <f t="shared" si="32"/>
        <v>0</v>
      </c>
      <c r="J108" s="45">
        <f t="shared" si="27"/>
        <v>0</v>
      </c>
      <c r="K108" s="45">
        <f>(S108*$K$5)*(IF(B108&gt;=Age,$K$1*VLOOKUP('Q-Rates'!B108-Age+1,'Q-Rates'!$BC$8:$BD$128,2,0),1))</f>
        <v>0</v>
      </c>
      <c r="L108" s="45">
        <f>(T108*$L$5)*(IF(B108&gt;=Age,$L$1*VLOOKUP('Q-Rates'!B108-Age+1,'Q-Rates'!$BC$8:$BD$128,2,0),1))</f>
        <v>0</v>
      </c>
      <c r="M108" s="45">
        <f>RI!Y86/1000</f>
        <v>0</v>
      </c>
      <c r="N108" s="45">
        <f>RI!Z86/1000</f>
        <v>0</v>
      </c>
      <c r="O108" s="45">
        <f>RI!AB86/1000</f>
        <v>0</v>
      </c>
      <c r="P108" s="45">
        <f>RI!AC86/1000</f>
        <v>0</v>
      </c>
      <c r="Q108" s="45">
        <f>RI!AE86/1000</f>
        <v>0</v>
      </c>
      <c r="R108" s="45">
        <f>RI!AF86/1000</f>
        <v>0</v>
      </c>
      <c r="S108" s="45">
        <f>RI!AH86/1000</f>
        <v>0</v>
      </c>
      <c r="T108" s="45">
        <f>RI!AI86/1000</f>
        <v>0</v>
      </c>
      <c r="U108" s="45"/>
      <c r="V108" s="45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7">
        <v>0</v>
      </c>
      <c r="AO108" s="20">
        <f t="shared" si="28"/>
        <v>101</v>
      </c>
      <c r="AP108" s="48">
        <v>0</v>
      </c>
      <c r="AQ108" s="49">
        <v>0.1</v>
      </c>
      <c r="AR108" s="49">
        <f>IF($AO108&gt;[1]Basic!$D$29,0,VLOOKUP(MIN($AO108,6),[1]Specs!$Q$5:$R$11,2,0))</f>
        <v>0</v>
      </c>
      <c r="AS108" s="49">
        <v>0.08</v>
      </c>
      <c r="AT108" s="50">
        <f t="shared" si="20"/>
        <v>0</v>
      </c>
      <c r="AV108" s="20">
        <f t="shared" si="29"/>
        <v>101</v>
      </c>
      <c r="AW108" s="51">
        <f t="shared" si="33"/>
        <v>0</v>
      </c>
      <c r="AX108" s="23">
        <f t="shared" si="34"/>
        <v>0.1</v>
      </c>
      <c r="AY108" s="23">
        <f t="shared" si="35"/>
        <v>0</v>
      </c>
      <c r="AZ108" s="23">
        <f t="shared" si="36"/>
        <v>0.08</v>
      </c>
      <c r="BA108" s="52">
        <f t="shared" si="37"/>
        <v>0</v>
      </c>
      <c r="BC108" s="20">
        <f t="shared" si="30"/>
        <v>101</v>
      </c>
      <c r="BD108" s="51">
        <f t="shared" si="31"/>
        <v>0.99999999999999989</v>
      </c>
      <c r="BE108" s="52"/>
    </row>
    <row r="109" spans="2:57" x14ac:dyDescent="0.2">
      <c r="B109" s="20">
        <f t="shared" si="26"/>
        <v>101</v>
      </c>
      <c r="C109" s="44">
        <v>1</v>
      </c>
      <c r="D109" s="45">
        <v>1</v>
      </c>
      <c r="E109" s="45">
        <v>1</v>
      </c>
      <c r="F109" s="45">
        <v>1</v>
      </c>
      <c r="G109" s="45">
        <f>(M109*($G$4+$H$2)+$G$5*O109)*(IF(B109&gt;=Age,$G$1*VLOOKUP('Q-Rates'!B109-Age+1,'Q-Rates'!$BC$8:$BD$128,2,0),1))</f>
        <v>0</v>
      </c>
      <c r="H109" s="45">
        <f>(N109*($H$4+$H$2)+$H$5*P109)*(IF(B109&gt;=Age,$G$1*VLOOKUP('Q-Rates'!B109-Age+1,'Q-Rates'!$BC$8:$BD$128,2,0),1))</f>
        <v>0</v>
      </c>
      <c r="I109" s="45">
        <f t="shared" si="32"/>
        <v>0</v>
      </c>
      <c r="J109" s="45">
        <f t="shared" si="27"/>
        <v>0</v>
      </c>
      <c r="K109" s="45">
        <f>(S109*$K$5)*(IF(B109&gt;=Age,$K$1*VLOOKUP('Q-Rates'!B109-Age+1,'Q-Rates'!$BC$8:$BD$128,2,0),1))</f>
        <v>0</v>
      </c>
      <c r="L109" s="45">
        <f>(T109*$L$5)*(IF(B109&gt;=Age,$L$1*VLOOKUP('Q-Rates'!B109-Age+1,'Q-Rates'!$BC$8:$BD$128,2,0),1))</f>
        <v>0</v>
      </c>
      <c r="M109" s="45">
        <f>RI!Y87/1000</f>
        <v>0</v>
      </c>
      <c r="N109" s="45">
        <f>RI!Z87/1000</f>
        <v>0</v>
      </c>
      <c r="O109" s="45">
        <f>RI!AB87/1000</f>
        <v>0</v>
      </c>
      <c r="P109" s="45">
        <f>RI!AC87/1000</f>
        <v>0</v>
      </c>
      <c r="Q109" s="45">
        <f>RI!AE87/1000</f>
        <v>0</v>
      </c>
      <c r="R109" s="45">
        <f>RI!AF87/1000</f>
        <v>0</v>
      </c>
      <c r="S109" s="45">
        <f>RI!AH87/1000</f>
        <v>0</v>
      </c>
      <c r="T109" s="45">
        <f>RI!AI87/1000</f>
        <v>0</v>
      </c>
      <c r="U109" s="45"/>
      <c r="V109" s="45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7">
        <v>0</v>
      </c>
      <c r="AO109" s="20">
        <f t="shared" si="28"/>
        <v>102</v>
      </c>
      <c r="AP109" s="48">
        <v>0</v>
      </c>
      <c r="AQ109" s="49">
        <v>0.1</v>
      </c>
      <c r="AR109" s="49">
        <f>IF($AO109&gt;[1]Basic!$D$29,0,VLOOKUP(MIN($AO109,6),[1]Specs!$Q$5:$R$11,2,0))</f>
        <v>0</v>
      </c>
      <c r="AS109" s="49">
        <v>0.08</v>
      </c>
      <c r="AT109" s="50">
        <f t="shared" si="20"/>
        <v>0</v>
      </c>
      <c r="AV109" s="20">
        <f t="shared" si="29"/>
        <v>102</v>
      </c>
      <c r="AW109" s="51">
        <f t="shared" si="33"/>
        <v>0</v>
      </c>
      <c r="AX109" s="23">
        <f t="shared" si="34"/>
        <v>0.1</v>
      </c>
      <c r="AY109" s="23">
        <f t="shared" si="35"/>
        <v>0</v>
      </c>
      <c r="AZ109" s="23">
        <f t="shared" si="36"/>
        <v>0.08</v>
      </c>
      <c r="BA109" s="52">
        <f t="shared" si="37"/>
        <v>0</v>
      </c>
      <c r="BC109" s="20">
        <f t="shared" si="30"/>
        <v>102</v>
      </c>
      <c r="BD109" s="51">
        <f t="shared" si="31"/>
        <v>0.99999999999999989</v>
      </c>
      <c r="BE109" s="52"/>
    </row>
    <row r="110" spans="2:57" x14ac:dyDescent="0.2">
      <c r="B110" s="20">
        <f t="shared" si="26"/>
        <v>102</v>
      </c>
      <c r="C110" s="44">
        <v>1</v>
      </c>
      <c r="D110" s="45">
        <v>1</v>
      </c>
      <c r="E110" s="45">
        <v>1</v>
      </c>
      <c r="F110" s="45">
        <v>1</v>
      </c>
      <c r="G110" s="45">
        <f>(M110*($G$4+$H$2)+$G$5*O110)*(IF(B110&gt;=Age,$G$1*VLOOKUP('Q-Rates'!B110-Age+1,'Q-Rates'!$BC$8:$BD$128,2,0),1))</f>
        <v>0</v>
      </c>
      <c r="H110" s="45">
        <f>(N110*($H$4+$H$2)+$H$5*P110)*(IF(B110&gt;=Age,$G$1*VLOOKUP('Q-Rates'!B110-Age+1,'Q-Rates'!$BC$8:$BD$128,2,0),1))</f>
        <v>0</v>
      </c>
      <c r="I110" s="45">
        <f t="shared" si="32"/>
        <v>0</v>
      </c>
      <c r="J110" s="45">
        <f t="shared" si="27"/>
        <v>0</v>
      </c>
      <c r="K110" s="45">
        <f>(S110*$K$5)*(IF(B110&gt;=Age,$K$1*VLOOKUP('Q-Rates'!B110-Age+1,'Q-Rates'!$BC$8:$BD$128,2,0),1))</f>
        <v>0</v>
      </c>
      <c r="L110" s="45">
        <f>(T110*$L$5)*(IF(B110&gt;=Age,$L$1*VLOOKUP('Q-Rates'!B110-Age+1,'Q-Rates'!$BC$8:$BD$128,2,0),1))</f>
        <v>0</v>
      </c>
      <c r="M110" s="45">
        <f>RI!Y88/1000</f>
        <v>0</v>
      </c>
      <c r="N110" s="45">
        <f>RI!Z88/1000</f>
        <v>0</v>
      </c>
      <c r="O110" s="45">
        <f>RI!AB88/1000</f>
        <v>0</v>
      </c>
      <c r="P110" s="45">
        <f>RI!AC88/1000</f>
        <v>0</v>
      </c>
      <c r="Q110" s="45">
        <f>RI!AE88/1000</f>
        <v>0</v>
      </c>
      <c r="R110" s="45">
        <f>RI!AF88/1000</f>
        <v>0</v>
      </c>
      <c r="S110" s="45">
        <f>RI!AH88/1000</f>
        <v>0</v>
      </c>
      <c r="T110" s="45">
        <f>RI!AI88/1000</f>
        <v>0</v>
      </c>
      <c r="U110" s="45"/>
      <c r="V110" s="45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7">
        <v>0</v>
      </c>
      <c r="AO110" s="20">
        <f t="shared" si="28"/>
        <v>103</v>
      </c>
      <c r="AP110" s="48">
        <v>0</v>
      </c>
      <c r="AQ110" s="49">
        <v>0.1</v>
      </c>
      <c r="AR110" s="49">
        <f>IF($AO110&gt;[1]Basic!$D$29,0,VLOOKUP(MIN($AO110,6),[1]Specs!$Q$5:$R$11,2,0))</f>
        <v>0</v>
      </c>
      <c r="AS110" s="49">
        <v>0.08</v>
      </c>
      <c r="AT110" s="50">
        <f t="shared" si="20"/>
        <v>0</v>
      </c>
      <c r="AV110" s="20">
        <f t="shared" si="29"/>
        <v>103</v>
      </c>
      <c r="AW110" s="51">
        <f t="shared" si="33"/>
        <v>0</v>
      </c>
      <c r="AX110" s="23">
        <f t="shared" si="34"/>
        <v>0.1</v>
      </c>
      <c r="AY110" s="23">
        <f t="shared" si="35"/>
        <v>0</v>
      </c>
      <c r="AZ110" s="23">
        <f t="shared" si="36"/>
        <v>0.08</v>
      </c>
      <c r="BA110" s="52">
        <f t="shared" si="37"/>
        <v>0</v>
      </c>
      <c r="BC110" s="20">
        <f t="shared" si="30"/>
        <v>103</v>
      </c>
      <c r="BD110" s="51">
        <f t="shared" si="31"/>
        <v>0.99999999999999989</v>
      </c>
      <c r="BE110" s="52"/>
    </row>
    <row r="111" spans="2:57" x14ac:dyDescent="0.2">
      <c r="B111" s="20">
        <f t="shared" si="26"/>
        <v>103</v>
      </c>
      <c r="C111" s="44">
        <v>1</v>
      </c>
      <c r="D111" s="45">
        <v>1</v>
      </c>
      <c r="E111" s="45">
        <v>1</v>
      </c>
      <c r="F111" s="45">
        <v>1</v>
      </c>
      <c r="G111" s="45">
        <f>(M111*($G$4+$H$2)+$G$5*O111)*(IF(B111&gt;=Age,$G$1*VLOOKUP('Q-Rates'!B111-Age+1,'Q-Rates'!$BC$8:$BD$128,2,0),1))</f>
        <v>0</v>
      </c>
      <c r="H111" s="45">
        <f>(N111*($H$4+$H$2)+$H$5*P111)*(IF(B111&gt;=Age,$G$1*VLOOKUP('Q-Rates'!B111-Age+1,'Q-Rates'!$BC$8:$BD$128,2,0),1))</f>
        <v>0</v>
      </c>
      <c r="I111" s="45">
        <f t="shared" si="32"/>
        <v>0</v>
      </c>
      <c r="J111" s="45">
        <f t="shared" si="27"/>
        <v>0</v>
      </c>
      <c r="K111" s="45">
        <f>(S111*$K$5)*(IF(B111&gt;=Age,$K$1*VLOOKUP('Q-Rates'!B111-Age+1,'Q-Rates'!$BC$8:$BD$128,2,0),1))</f>
        <v>0</v>
      </c>
      <c r="L111" s="45">
        <f>(T111*$L$5)*(IF(B111&gt;=Age,$L$1*VLOOKUP('Q-Rates'!B111-Age+1,'Q-Rates'!$BC$8:$BD$128,2,0),1))</f>
        <v>0</v>
      </c>
      <c r="M111" s="45">
        <f>RI!Y89/1000</f>
        <v>0</v>
      </c>
      <c r="N111" s="45">
        <f>RI!Z89/1000</f>
        <v>0</v>
      </c>
      <c r="O111" s="45">
        <f>RI!AB89/1000</f>
        <v>0</v>
      </c>
      <c r="P111" s="45">
        <f>RI!AC89/1000</f>
        <v>0</v>
      </c>
      <c r="Q111" s="45">
        <f>RI!AE89/1000</f>
        <v>0</v>
      </c>
      <c r="R111" s="45">
        <f>RI!AF89/1000</f>
        <v>0</v>
      </c>
      <c r="S111" s="45">
        <f>RI!AH89/1000</f>
        <v>0</v>
      </c>
      <c r="T111" s="45">
        <f>RI!AI89/1000</f>
        <v>0</v>
      </c>
      <c r="U111" s="45"/>
      <c r="V111" s="45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7">
        <v>0</v>
      </c>
      <c r="AO111" s="20">
        <f t="shared" si="28"/>
        <v>104</v>
      </c>
      <c r="AP111" s="48">
        <v>0</v>
      </c>
      <c r="AQ111" s="49">
        <v>0.1</v>
      </c>
      <c r="AR111" s="49">
        <f>IF($AO111&gt;[1]Basic!$D$29,0,VLOOKUP(MIN($AO111,6),[1]Specs!$Q$5:$R$11,2,0))</f>
        <v>0</v>
      </c>
      <c r="AS111" s="49">
        <v>0.08</v>
      </c>
      <c r="AT111" s="50">
        <f t="shared" si="20"/>
        <v>0</v>
      </c>
      <c r="AV111" s="20">
        <f t="shared" si="29"/>
        <v>104</v>
      </c>
      <c r="AW111" s="51">
        <f t="shared" si="33"/>
        <v>0</v>
      </c>
      <c r="AX111" s="23">
        <f t="shared" si="34"/>
        <v>0.1</v>
      </c>
      <c r="AY111" s="23">
        <f t="shared" si="35"/>
        <v>0</v>
      </c>
      <c r="AZ111" s="23">
        <f t="shared" si="36"/>
        <v>0.08</v>
      </c>
      <c r="BA111" s="52">
        <f t="shared" si="37"/>
        <v>0</v>
      </c>
      <c r="BC111" s="20">
        <f t="shared" si="30"/>
        <v>104</v>
      </c>
      <c r="BD111" s="51">
        <f t="shared" si="31"/>
        <v>0.99999999999999989</v>
      </c>
      <c r="BE111" s="52"/>
    </row>
    <row r="112" spans="2:57" x14ac:dyDescent="0.2">
      <c r="B112" s="20">
        <f t="shared" si="26"/>
        <v>104</v>
      </c>
      <c r="C112" s="44">
        <v>1</v>
      </c>
      <c r="D112" s="45">
        <v>1</v>
      </c>
      <c r="E112" s="45">
        <v>1</v>
      </c>
      <c r="F112" s="45">
        <v>1</v>
      </c>
      <c r="G112" s="45">
        <f>(M112*($G$4+$H$2)+$G$5*O112)*(IF(B112&gt;=Age,$G$1*VLOOKUP('Q-Rates'!B112-Age+1,'Q-Rates'!$BC$8:$BD$128,2,0),1))</f>
        <v>0</v>
      </c>
      <c r="H112" s="45">
        <f>(N112*($H$4+$H$2)+$H$5*P112)*(IF(B112&gt;=Age,$G$1*VLOOKUP('Q-Rates'!B112-Age+1,'Q-Rates'!$BC$8:$BD$128,2,0),1))</f>
        <v>0</v>
      </c>
      <c r="I112" s="45">
        <f t="shared" si="32"/>
        <v>0</v>
      </c>
      <c r="J112" s="45">
        <f t="shared" si="27"/>
        <v>0</v>
      </c>
      <c r="K112" s="45">
        <f>(S112*$K$5)*(IF(B112&gt;=Age,$K$1*VLOOKUP('Q-Rates'!B112-Age+1,'Q-Rates'!$BC$8:$BD$128,2,0),1))</f>
        <v>0</v>
      </c>
      <c r="L112" s="45">
        <f>(T112*$L$5)*(IF(B112&gt;=Age,$L$1*VLOOKUP('Q-Rates'!B112-Age+1,'Q-Rates'!$BC$8:$BD$128,2,0),1))</f>
        <v>0</v>
      </c>
      <c r="M112" s="45">
        <f>RI!Y90/1000</f>
        <v>0</v>
      </c>
      <c r="N112" s="45">
        <f>RI!Z90/1000</f>
        <v>0</v>
      </c>
      <c r="O112" s="45">
        <f>RI!AB90/1000</f>
        <v>0</v>
      </c>
      <c r="P112" s="45">
        <f>RI!AC90/1000</f>
        <v>0</v>
      </c>
      <c r="Q112" s="45">
        <f>RI!AE90/1000</f>
        <v>0</v>
      </c>
      <c r="R112" s="45">
        <f>RI!AF90/1000</f>
        <v>0</v>
      </c>
      <c r="S112" s="45">
        <f>RI!AH90/1000</f>
        <v>0</v>
      </c>
      <c r="T112" s="45">
        <f>RI!AI90/1000</f>
        <v>0</v>
      </c>
      <c r="U112" s="45"/>
      <c r="V112" s="45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7">
        <v>0</v>
      </c>
      <c r="AO112" s="20">
        <f t="shared" si="28"/>
        <v>105</v>
      </c>
      <c r="AP112" s="48">
        <v>0</v>
      </c>
      <c r="AQ112" s="49">
        <v>0.1</v>
      </c>
      <c r="AR112" s="49">
        <f>IF($AO112&gt;[1]Basic!$D$29,0,VLOOKUP(MIN($AO112,6),[1]Specs!$Q$5:$R$11,2,0))</f>
        <v>0</v>
      </c>
      <c r="AS112" s="49">
        <v>0.08</v>
      </c>
      <c r="AT112" s="50">
        <f t="shared" si="20"/>
        <v>0</v>
      </c>
      <c r="AV112" s="20">
        <f t="shared" si="29"/>
        <v>105</v>
      </c>
      <c r="AW112" s="51">
        <f t="shared" si="33"/>
        <v>0</v>
      </c>
      <c r="AX112" s="23">
        <f t="shared" si="34"/>
        <v>0.1</v>
      </c>
      <c r="AY112" s="23">
        <f t="shared" si="35"/>
        <v>0</v>
      </c>
      <c r="AZ112" s="23">
        <f t="shared" si="36"/>
        <v>0.08</v>
      </c>
      <c r="BA112" s="52">
        <f t="shared" si="37"/>
        <v>0</v>
      </c>
      <c r="BC112" s="20">
        <f t="shared" si="30"/>
        <v>105</v>
      </c>
      <c r="BD112" s="51">
        <f t="shared" si="31"/>
        <v>0.99999999999999989</v>
      </c>
      <c r="BE112" s="52"/>
    </row>
    <row r="113" spans="2:57" x14ac:dyDescent="0.2">
      <c r="B113" s="20">
        <f t="shared" si="26"/>
        <v>105</v>
      </c>
      <c r="C113" s="44">
        <v>1</v>
      </c>
      <c r="D113" s="45">
        <v>1</v>
      </c>
      <c r="E113" s="45">
        <v>1</v>
      </c>
      <c r="F113" s="45">
        <v>1</v>
      </c>
      <c r="G113" s="45">
        <f>(M113*($G$4+$H$2)+$G$5*O113)*(IF(B113&gt;=Age,$G$1*VLOOKUP('Q-Rates'!B113-Age+1,'Q-Rates'!$BC$8:$BD$128,2,0),1))</f>
        <v>0</v>
      </c>
      <c r="H113" s="45">
        <f>(N113*($H$4+$H$2)+$H$5*P113)*(IF(B113&gt;=Age,$G$1*VLOOKUP('Q-Rates'!B113-Age+1,'Q-Rates'!$BC$8:$BD$128,2,0),1))</f>
        <v>0</v>
      </c>
      <c r="I113" s="45">
        <f t="shared" si="32"/>
        <v>0</v>
      </c>
      <c r="J113" s="45">
        <f t="shared" si="27"/>
        <v>0</v>
      </c>
      <c r="K113" s="45">
        <f>(S113*$K$5)*(IF(B113&gt;=Age,$K$1*VLOOKUP('Q-Rates'!B113-Age+1,'Q-Rates'!$BC$8:$BD$128,2,0),1))</f>
        <v>0</v>
      </c>
      <c r="L113" s="45">
        <f>(T113*$L$5)*(IF(B113&gt;=Age,$L$1*VLOOKUP('Q-Rates'!B113-Age+1,'Q-Rates'!$BC$8:$BD$128,2,0),1))</f>
        <v>0</v>
      </c>
      <c r="M113" s="45">
        <f>RI!Y91/1000</f>
        <v>0</v>
      </c>
      <c r="N113" s="45">
        <f>RI!Z91/1000</f>
        <v>0</v>
      </c>
      <c r="O113" s="45">
        <f>RI!AB91/1000</f>
        <v>0</v>
      </c>
      <c r="P113" s="45">
        <f>RI!AC91/1000</f>
        <v>0</v>
      </c>
      <c r="Q113" s="45">
        <f>RI!AE91/1000</f>
        <v>0</v>
      </c>
      <c r="R113" s="45">
        <f>RI!AF91/1000</f>
        <v>0</v>
      </c>
      <c r="S113" s="45">
        <f>RI!AH91/1000</f>
        <v>0</v>
      </c>
      <c r="T113" s="45">
        <f>RI!AI91/1000</f>
        <v>0</v>
      </c>
      <c r="U113" s="45"/>
      <c r="V113" s="45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7">
        <v>0</v>
      </c>
      <c r="AO113" s="20">
        <f t="shared" si="28"/>
        <v>106</v>
      </c>
      <c r="AP113" s="48">
        <v>0</v>
      </c>
      <c r="AQ113" s="49">
        <v>0.1</v>
      </c>
      <c r="AR113" s="49">
        <f>IF($AO113&gt;[1]Basic!$D$29,0,VLOOKUP(MIN($AO113,6),[1]Specs!$Q$5:$R$11,2,0))</f>
        <v>0</v>
      </c>
      <c r="AS113" s="49">
        <v>0.08</v>
      </c>
      <c r="AT113" s="50">
        <f t="shared" si="20"/>
        <v>0</v>
      </c>
      <c r="AV113" s="20">
        <f t="shared" si="29"/>
        <v>106</v>
      </c>
      <c r="AW113" s="51">
        <f t="shared" si="33"/>
        <v>0</v>
      </c>
      <c r="AX113" s="23">
        <f t="shared" si="34"/>
        <v>0.1</v>
      </c>
      <c r="AY113" s="23">
        <f t="shared" si="35"/>
        <v>0</v>
      </c>
      <c r="AZ113" s="23">
        <f t="shared" si="36"/>
        <v>0.08</v>
      </c>
      <c r="BA113" s="52">
        <f t="shared" si="37"/>
        <v>0</v>
      </c>
      <c r="BC113" s="20">
        <f t="shared" si="30"/>
        <v>106</v>
      </c>
      <c r="BD113" s="51">
        <f t="shared" si="31"/>
        <v>0.99999999999999989</v>
      </c>
      <c r="BE113" s="52"/>
    </row>
    <row r="114" spans="2:57" x14ac:dyDescent="0.2">
      <c r="B114" s="20">
        <f t="shared" si="26"/>
        <v>106</v>
      </c>
      <c r="C114" s="44">
        <v>1</v>
      </c>
      <c r="D114" s="45">
        <v>1</v>
      </c>
      <c r="E114" s="45">
        <v>1</v>
      </c>
      <c r="F114" s="45">
        <v>1</v>
      </c>
      <c r="G114" s="45">
        <f>(M114*($G$4+$H$2)+$G$5*O114)*(IF(B114&gt;=Age,$G$1*VLOOKUP('Q-Rates'!B114-Age+1,'Q-Rates'!$BC$8:$BD$128,2,0),1))</f>
        <v>0</v>
      </c>
      <c r="H114" s="45">
        <f>(N114*($H$4+$H$2)+$H$5*P114)*(IF(B114&gt;=Age,$G$1*VLOOKUP('Q-Rates'!B114-Age+1,'Q-Rates'!$BC$8:$BD$128,2,0),1))</f>
        <v>0</v>
      </c>
      <c r="I114" s="45">
        <f t="shared" si="32"/>
        <v>0</v>
      </c>
      <c r="J114" s="45">
        <f t="shared" si="27"/>
        <v>0</v>
      </c>
      <c r="K114" s="45">
        <f>(S114*$K$5)*(IF(B114&gt;=Age,$K$1*VLOOKUP('Q-Rates'!B114-Age+1,'Q-Rates'!$BC$8:$BD$128,2,0),1))</f>
        <v>0</v>
      </c>
      <c r="L114" s="45">
        <f>(T114*$L$5)*(IF(B114&gt;=Age,$L$1*VLOOKUP('Q-Rates'!B114-Age+1,'Q-Rates'!$BC$8:$BD$128,2,0),1))</f>
        <v>0</v>
      </c>
      <c r="M114" s="45">
        <f>RI!Y92/1000</f>
        <v>0</v>
      </c>
      <c r="N114" s="45">
        <f>RI!Z92/1000</f>
        <v>0</v>
      </c>
      <c r="O114" s="45">
        <f>RI!AB92/1000</f>
        <v>0</v>
      </c>
      <c r="P114" s="45">
        <f>RI!AC92/1000</f>
        <v>0</v>
      </c>
      <c r="Q114" s="45">
        <f>RI!AE92/1000</f>
        <v>0</v>
      </c>
      <c r="R114" s="45">
        <f>RI!AF92/1000</f>
        <v>0</v>
      </c>
      <c r="S114" s="45">
        <f>RI!AH92/1000</f>
        <v>0</v>
      </c>
      <c r="T114" s="45">
        <f>RI!AI92/1000</f>
        <v>0</v>
      </c>
      <c r="U114" s="45"/>
      <c r="V114" s="45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7">
        <v>0</v>
      </c>
      <c r="AO114" s="20">
        <f t="shared" si="28"/>
        <v>107</v>
      </c>
      <c r="AP114" s="48">
        <v>0</v>
      </c>
      <c r="AQ114" s="49">
        <v>0.1</v>
      </c>
      <c r="AR114" s="49">
        <f>IF($AO114&gt;[1]Basic!$D$29,0,VLOOKUP(MIN($AO114,6),[1]Specs!$Q$5:$R$11,2,0))</f>
        <v>0</v>
      </c>
      <c r="AS114" s="49">
        <v>0.08</v>
      </c>
      <c r="AT114" s="50">
        <f t="shared" si="20"/>
        <v>0</v>
      </c>
      <c r="AV114" s="20">
        <f t="shared" si="29"/>
        <v>107</v>
      </c>
      <c r="AW114" s="51">
        <f t="shared" si="33"/>
        <v>0</v>
      </c>
      <c r="AX114" s="23">
        <f t="shared" si="34"/>
        <v>0.1</v>
      </c>
      <c r="AY114" s="23">
        <f t="shared" si="35"/>
        <v>0</v>
      </c>
      <c r="AZ114" s="23">
        <f t="shared" si="36"/>
        <v>0.08</v>
      </c>
      <c r="BA114" s="52">
        <f t="shared" si="37"/>
        <v>0</v>
      </c>
      <c r="BC114" s="20">
        <f t="shared" si="30"/>
        <v>107</v>
      </c>
      <c r="BD114" s="51">
        <f t="shared" si="31"/>
        <v>0.99999999999999989</v>
      </c>
      <c r="BE114" s="52"/>
    </row>
    <row r="115" spans="2:57" x14ac:dyDescent="0.2">
      <c r="B115" s="20">
        <f t="shared" si="26"/>
        <v>107</v>
      </c>
      <c r="C115" s="44">
        <v>1</v>
      </c>
      <c r="D115" s="45">
        <v>1</v>
      </c>
      <c r="E115" s="45">
        <v>1</v>
      </c>
      <c r="F115" s="45">
        <v>1</v>
      </c>
      <c r="G115" s="45">
        <f>(M115*($G$4+$H$2)+$G$5*O115)*(IF(B115&gt;=Age,$G$1*VLOOKUP('Q-Rates'!B115-Age+1,'Q-Rates'!$BC$8:$BD$128,2,0),1))</f>
        <v>0</v>
      </c>
      <c r="H115" s="45">
        <f>(N115*($H$4+$H$2)+$H$5*P115)*(IF(B115&gt;=Age,$G$1*VLOOKUP('Q-Rates'!B115-Age+1,'Q-Rates'!$BC$8:$BD$128,2,0),1))</f>
        <v>0</v>
      </c>
      <c r="I115" s="45">
        <f t="shared" si="32"/>
        <v>0</v>
      </c>
      <c r="J115" s="45">
        <f t="shared" si="27"/>
        <v>0</v>
      </c>
      <c r="K115" s="45">
        <f>(S115*$K$5)*(IF(B115&gt;=Age,$K$1*VLOOKUP('Q-Rates'!B115-Age+1,'Q-Rates'!$BC$8:$BD$128,2,0),1))</f>
        <v>0</v>
      </c>
      <c r="L115" s="45">
        <f>(T115*$L$5)*(IF(B115&gt;=Age,$L$1*VLOOKUP('Q-Rates'!B115-Age+1,'Q-Rates'!$BC$8:$BD$128,2,0),1))</f>
        <v>0</v>
      </c>
      <c r="M115" s="45">
        <f>RI!Y93/1000</f>
        <v>0</v>
      </c>
      <c r="N115" s="45">
        <f>RI!Z93/1000</f>
        <v>0</v>
      </c>
      <c r="O115" s="45">
        <f>RI!AB93/1000</f>
        <v>0</v>
      </c>
      <c r="P115" s="45">
        <f>RI!AC93/1000</f>
        <v>0</v>
      </c>
      <c r="Q115" s="45">
        <f>RI!AE93/1000</f>
        <v>0</v>
      </c>
      <c r="R115" s="45">
        <f>RI!AF93/1000</f>
        <v>0</v>
      </c>
      <c r="S115" s="45">
        <f>RI!AH93/1000</f>
        <v>0</v>
      </c>
      <c r="T115" s="45">
        <f>RI!AI93/1000</f>
        <v>0</v>
      </c>
      <c r="U115" s="45"/>
      <c r="V115" s="45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7">
        <v>0</v>
      </c>
      <c r="AO115" s="20">
        <f t="shared" si="28"/>
        <v>108</v>
      </c>
      <c r="AP115" s="48">
        <v>0</v>
      </c>
      <c r="AQ115" s="49">
        <v>0.1</v>
      </c>
      <c r="AR115" s="49">
        <f>IF($AO115&gt;[1]Basic!$D$29,0,VLOOKUP(MIN($AO115,6),[1]Specs!$Q$5:$R$11,2,0))</f>
        <v>0</v>
      </c>
      <c r="AS115" s="49">
        <v>0.08</v>
      </c>
      <c r="AT115" s="50">
        <f t="shared" si="20"/>
        <v>0</v>
      </c>
      <c r="AV115" s="20">
        <f t="shared" si="29"/>
        <v>108</v>
      </c>
      <c r="AW115" s="51">
        <f t="shared" si="33"/>
        <v>0</v>
      </c>
      <c r="AX115" s="23">
        <f t="shared" si="34"/>
        <v>0.1</v>
      </c>
      <c r="AY115" s="23">
        <f t="shared" si="35"/>
        <v>0</v>
      </c>
      <c r="AZ115" s="23">
        <f t="shared" si="36"/>
        <v>0.08</v>
      </c>
      <c r="BA115" s="52">
        <f t="shared" si="37"/>
        <v>0</v>
      </c>
      <c r="BC115" s="20">
        <f t="shared" si="30"/>
        <v>108</v>
      </c>
      <c r="BD115" s="51">
        <f t="shared" si="31"/>
        <v>0.99999999999999989</v>
      </c>
      <c r="BE115" s="52"/>
    </row>
    <row r="116" spans="2:57" x14ac:dyDescent="0.2">
      <c r="B116" s="20">
        <f t="shared" si="26"/>
        <v>108</v>
      </c>
      <c r="C116" s="44">
        <v>1</v>
      </c>
      <c r="D116" s="45">
        <v>1</v>
      </c>
      <c r="E116" s="45">
        <v>1</v>
      </c>
      <c r="F116" s="45">
        <v>1</v>
      </c>
      <c r="G116" s="45">
        <f>(M116*($G$4+$H$2)+$G$5*O116)*(IF(B116&gt;=Age,$G$1*VLOOKUP('Q-Rates'!B116-Age+1,'Q-Rates'!$BC$8:$BD$128,2,0),1))</f>
        <v>0</v>
      </c>
      <c r="H116" s="45">
        <f>(N116*($H$4+$H$2)+$H$5*P116)*(IF(B116&gt;=Age,$G$1*VLOOKUP('Q-Rates'!B116-Age+1,'Q-Rates'!$BC$8:$BD$128,2,0),1))</f>
        <v>0</v>
      </c>
      <c r="I116" s="45">
        <f t="shared" si="32"/>
        <v>0</v>
      </c>
      <c r="J116" s="45">
        <f t="shared" si="27"/>
        <v>0</v>
      </c>
      <c r="K116" s="45">
        <f>(S116*$K$5)*(IF(B116&gt;=Age,$K$1*VLOOKUP('Q-Rates'!B116-Age+1,'Q-Rates'!$BC$8:$BD$128,2,0),1))</f>
        <v>0</v>
      </c>
      <c r="L116" s="45">
        <f>(T116*$L$5)*(IF(B116&gt;=Age,$L$1*VLOOKUP('Q-Rates'!B116-Age+1,'Q-Rates'!$BC$8:$BD$128,2,0),1))</f>
        <v>0</v>
      </c>
      <c r="M116" s="45">
        <f>RI!Y94/1000</f>
        <v>0</v>
      </c>
      <c r="N116" s="45">
        <f>RI!Z94/1000</f>
        <v>0</v>
      </c>
      <c r="O116" s="45">
        <f>RI!AB94/1000</f>
        <v>0</v>
      </c>
      <c r="P116" s="45">
        <f>RI!AC94/1000</f>
        <v>0</v>
      </c>
      <c r="Q116" s="45">
        <f>RI!AE94/1000</f>
        <v>0</v>
      </c>
      <c r="R116" s="45">
        <f>RI!AF94/1000</f>
        <v>0</v>
      </c>
      <c r="S116" s="45">
        <f>RI!AH94/1000</f>
        <v>0</v>
      </c>
      <c r="T116" s="45">
        <f>RI!AI94/1000</f>
        <v>0</v>
      </c>
      <c r="U116" s="45"/>
      <c r="V116" s="45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7">
        <v>0</v>
      </c>
      <c r="AO116" s="20">
        <f t="shared" si="28"/>
        <v>109</v>
      </c>
      <c r="AP116" s="48">
        <v>0</v>
      </c>
      <c r="AQ116" s="49">
        <v>0.1</v>
      </c>
      <c r="AR116" s="49">
        <f>IF($AO116&gt;[1]Basic!$D$29,0,VLOOKUP(MIN($AO116,6),[1]Specs!$Q$5:$R$11,2,0))</f>
        <v>0</v>
      </c>
      <c r="AS116" s="49">
        <v>0.08</v>
      </c>
      <c r="AT116" s="50">
        <f t="shared" si="20"/>
        <v>0</v>
      </c>
      <c r="AV116" s="20">
        <f t="shared" si="29"/>
        <v>109</v>
      </c>
      <c r="AW116" s="51">
        <f t="shared" si="33"/>
        <v>0</v>
      </c>
      <c r="AX116" s="23">
        <f t="shared" si="34"/>
        <v>0.1</v>
      </c>
      <c r="AY116" s="23">
        <f t="shared" si="35"/>
        <v>0</v>
      </c>
      <c r="AZ116" s="23">
        <f t="shared" si="36"/>
        <v>0.08</v>
      </c>
      <c r="BA116" s="52">
        <f t="shared" si="37"/>
        <v>0</v>
      </c>
      <c r="BC116" s="20">
        <f t="shared" si="30"/>
        <v>109</v>
      </c>
      <c r="BD116" s="51">
        <f t="shared" si="31"/>
        <v>0.99999999999999989</v>
      </c>
      <c r="BE116" s="52"/>
    </row>
    <row r="117" spans="2:57" x14ac:dyDescent="0.2">
      <c r="B117" s="20">
        <f t="shared" si="26"/>
        <v>109</v>
      </c>
      <c r="C117" s="44">
        <v>1</v>
      </c>
      <c r="D117" s="45">
        <v>1</v>
      </c>
      <c r="E117" s="45">
        <v>1</v>
      </c>
      <c r="F117" s="45">
        <v>1</v>
      </c>
      <c r="G117" s="45">
        <f>(M117*($G$4+$H$2)+$G$5*O117)*(IF(B117&gt;=Age,$G$1*VLOOKUP('Q-Rates'!B117-Age+1,'Q-Rates'!$BC$8:$BD$128,2,0),1))</f>
        <v>0</v>
      </c>
      <c r="H117" s="45">
        <f>(N117*($H$4+$H$2)+$H$5*P117)*(IF(B117&gt;=Age,$G$1*VLOOKUP('Q-Rates'!B117-Age+1,'Q-Rates'!$BC$8:$BD$128,2,0),1))</f>
        <v>0</v>
      </c>
      <c r="I117" s="45">
        <f t="shared" si="32"/>
        <v>0</v>
      </c>
      <c r="J117" s="45">
        <f t="shared" si="27"/>
        <v>0</v>
      </c>
      <c r="K117" s="45">
        <f>(S117*$K$5)*(IF(B117&gt;=Age,$K$1*VLOOKUP('Q-Rates'!B117-Age+1,'Q-Rates'!$BC$8:$BD$128,2,0),1))</f>
        <v>0</v>
      </c>
      <c r="L117" s="45">
        <f>(T117*$L$5)*(IF(B117&gt;=Age,$L$1*VLOOKUP('Q-Rates'!B117-Age+1,'Q-Rates'!$BC$8:$BD$128,2,0),1))</f>
        <v>0</v>
      </c>
      <c r="M117" s="45">
        <f>RI!Y95/1000</f>
        <v>0</v>
      </c>
      <c r="N117" s="45">
        <f>RI!Z95/1000</f>
        <v>0</v>
      </c>
      <c r="O117" s="45">
        <f>RI!AB95/1000</f>
        <v>0</v>
      </c>
      <c r="P117" s="45">
        <f>RI!AC95/1000</f>
        <v>0</v>
      </c>
      <c r="Q117" s="45">
        <f>RI!AE95/1000</f>
        <v>0</v>
      </c>
      <c r="R117" s="45">
        <f>RI!AF95/1000</f>
        <v>0</v>
      </c>
      <c r="S117" s="45">
        <f>RI!AH95/1000</f>
        <v>0</v>
      </c>
      <c r="T117" s="45">
        <f>RI!AI95/1000</f>
        <v>0</v>
      </c>
      <c r="U117" s="45"/>
      <c r="V117" s="45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7">
        <v>0</v>
      </c>
      <c r="AO117" s="20">
        <f t="shared" si="28"/>
        <v>110</v>
      </c>
      <c r="AP117" s="48">
        <v>0</v>
      </c>
      <c r="AQ117" s="49">
        <v>0.1</v>
      </c>
      <c r="AR117" s="49">
        <f>IF($AO117&gt;[1]Basic!$D$29,0,VLOOKUP(MIN($AO117,6),[1]Specs!$Q$5:$R$11,2,0))</f>
        <v>0</v>
      </c>
      <c r="AS117" s="49">
        <v>0.08</v>
      </c>
      <c r="AT117" s="50">
        <f t="shared" si="20"/>
        <v>0</v>
      </c>
      <c r="AV117" s="20">
        <f t="shared" si="29"/>
        <v>110</v>
      </c>
      <c r="AW117" s="51">
        <f t="shared" si="33"/>
        <v>0</v>
      </c>
      <c r="AX117" s="23">
        <f t="shared" si="34"/>
        <v>0.1</v>
      </c>
      <c r="AY117" s="23">
        <f t="shared" si="35"/>
        <v>0</v>
      </c>
      <c r="AZ117" s="23">
        <f t="shared" si="36"/>
        <v>0.08</v>
      </c>
      <c r="BA117" s="52">
        <f t="shared" si="37"/>
        <v>0</v>
      </c>
      <c r="BC117" s="20">
        <f t="shared" si="30"/>
        <v>110</v>
      </c>
      <c r="BD117" s="51">
        <f t="shared" si="31"/>
        <v>0.99999999999999989</v>
      </c>
      <c r="BE117" s="52"/>
    </row>
    <row r="118" spans="2:57" x14ac:dyDescent="0.2">
      <c r="B118" s="20">
        <f t="shared" si="26"/>
        <v>110</v>
      </c>
      <c r="C118" s="44">
        <v>1</v>
      </c>
      <c r="D118" s="45">
        <v>1</v>
      </c>
      <c r="E118" s="45">
        <v>1</v>
      </c>
      <c r="F118" s="45">
        <v>1</v>
      </c>
      <c r="G118" s="45">
        <f>(M118*($G$4+$H$2)+$G$5*O118)*(IF(B118&gt;=Age,$G$1*VLOOKUP('Q-Rates'!B118-Age+1,'Q-Rates'!$BC$8:$BD$128,2,0),1))</f>
        <v>0</v>
      </c>
      <c r="H118" s="45">
        <f>(N118*($H$4+$H$2)+$H$5*P118)*(IF(B118&gt;=Age,$G$1*VLOOKUP('Q-Rates'!B118-Age+1,'Q-Rates'!$BC$8:$BD$128,2,0),1))</f>
        <v>0</v>
      </c>
      <c r="I118" s="45">
        <f t="shared" si="32"/>
        <v>0</v>
      </c>
      <c r="J118" s="45">
        <f t="shared" si="27"/>
        <v>0</v>
      </c>
      <c r="K118" s="45">
        <f>(S118*$K$5)*(IF(B118&gt;=Age,$K$1*VLOOKUP('Q-Rates'!B118-Age+1,'Q-Rates'!$BC$8:$BD$128,2,0),1))</f>
        <v>0</v>
      </c>
      <c r="L118" s="45">
        <f>(T118*$L$5)*(IF(B118&gt;=Age,$L$1*VLOOKUP('Q-Rates'!B118-Age+1,'Q-Rates'!$BC$8:$BD$128,2,0),1))</f>
        <v>0</v>
      </c>
      <c r="M118" s="45">
        <f>RI!Y96/1000</f>
        <v>0</v>
      </c>
      <c r="N118" s="45">
        <f>RI!Z96/1000</f>
        <v>0</v>
      </c>
      <c r="O118" s="45">
        <f>RI!AB96/1000</f>
        <v>0</v>
      </c>
      <c r="P118" s="45">
        <f>RI!AC96/1000</f>
        <v>0</v>
      </c>
      <c r="Q118" s="45">
        <f>RI!AE96/1000</f>
        <v>0</v>
      </c>
      <c r="R118" s="45">
        <f>RI!AF96/1000</f>
        <v>0</v>
      </c>
      <c r="S118" s="45">
        <f>RI!AH96/1000</f>
        <v>0</v>
      </c>
      <c r="T118" s="45">
        <f>RI!AI96/1000</f>
        <v>0</v>
      </c>
      <c r="U118" s="45"/>
      <c r="V118" s="45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7">
        <v>0</v>
      </c>
      <c r="AO118" s="20">
        <f t="shared" si="28"/>
        <v>111</v>
      </c>
      <c r="AP118" s="48">
        <v>0</v>
      </c>
      <c r="AQ118" s="49">
        <v>0.1</v>
      </c>
      <c r="AR118" s="49">
        <f>IF($AO118&gt;[1]Basic!$D$29,0,VLOOKUP(MIN($AO118,6),[1]Specs!$Q$5:$R$11,2,0))</f>
        <v>0</v>
      </c>
      <c r="AS118" s="49">
        <v>0.08</v>
      </c>
      <c r="AT118" s="50">
        <f t="shared" si="20"/>
        <v>0</v>
      </c>
      <c r="AV118" s="20">
        <f t="shared" si="29"/>
        <v>111</v>
      </c>
      <c r="AW118" s="51">
        <f t="shared" si="33"/>
        <v>0</v>
      </c>
      <c r="AX118" s="23">
        <f t="shared" si="34"/>
        <v>0.1</v>
      </c>
      <c r="AY118" s="23">
        <f t="shared" si="35"/>
        <v>0</v>
      </c>
      <c r="AZ118" s="23">
        <f t="shared" si="36"/>
        <v>0.08</v>
      </c>
      <c r="BA118" s="52">
        <f t="shared" si="37"/>
        <v>0</v>
      </c>
      <c r="BC118" s="20">
        <f t="shared" si="30"/>
        <v>111</v>
      </c>
      <c r="BD118" s="51">
        <f t="shared" si="31"/>
        <v>0.99999999999999989</v>
      </c>
      <c r="BE118" s="52"/>
    </row>
    <row r="119" spans="2:57" x14ac:dyDescent="0.2">
      <c r="B119" s="20">
        <f t="shared" si="26"/>
        <v>111</v>
      </c>
      <c r="C119" s="44">
        <v>1</v>
      </c>
      <c r="D119" s="45">
        <v>1</v>
      </c>
      <c r="E119" s="45">
        <v>1</v>
      </c>
      <c r="F119" s="45">
        <v>1</v>
      </c>
      <c r="G119" s="45">
        <f>(M119*($G$4+$H$2)+$G$5*O119)*(IF(B119&gt;=Age,$G$1*VLOOKUP('Q-Rates'!B119-Age+1,'Q-Rates'!$BC$8:$BD$128,2,0),1))</f>
        <v>0</v>
      </c>
      <c r="H119" s="45">
        <f>(N119*($H$4+$H$2)+$H$5*P119)*(IF(B119&gt;=Age,$G$1*VLOOKUP('Q-Rates'!B119-Age+1,'Q-Rates'!$BC$8:$BD$128,2,0),1))</f>
        <v>0</v>
      </c>
      <c r="I119" s="45">
        <f t="shared" si="32"/>
        <v>0</v>
      </c>
      <c r="J119" s="45">
        <f t="shared" si="27"/>
        <v>0</v>
      </c>
      <c r="K119" s="45">
        <f>(S119*$K$5)*(IF(B119&gt;=Age,$K$1*VLOOKUP('Q-Rates'!B119-Age+1,'Q-Rates'!$BC$8:$BD$128,2,0),1))</f>
        <v>0</v>
      </c>
      <c r="L119" s="45">
        <f>(T119*$L$5)*(IF(B119&gt;=Age,$L$1*VLOOKUP('Q-Rates'!B119-Age+1,'Q-Rates'!$BC$8:$BD$128,2,0),1))</f>
        <v>0</v>
      </c>
      <c r="M119" s="45">
        <f>RI!Y97/1000</f>
        <v>0</v>
      </c>
      <c r="N119" s="45">
        <f>RI!Z97/1000</f>
        <v>0</v>
      </c>
      <c r="O119" s="45">
        <f>RI!AB97/1000</f>
        <v>0</v>
      </c>
      <c r="P119" s="45">
        <f>RI!AC97/1000</f>
        <v>0</v>
      </c>
      <c r="Q119" s="45">
        <f>RI!AE97/1000</f>
        <v>0</v>
      </c>
      <c r="R119" s="45">
        <f>RI!AF97/1000</f>
        <v>0</v>
      </c>
      <c r="S119" s="45">
        <f>RI!AH97/1000</f>
        <v>0</v>
      </c>
      <c r="T119" s="45">
        <f>RI!AI97/1000</f>
        <v>0</v>
      </c>
      <c r="U119" s="45"/>
      <c r="V119" s="45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7">
        <v>0</v>
      </c>
      <c r="AO119" s="20">
        <f t="shared" si="28"/>
        <v>112</v>
      </c>
      <c r="AP119" s="48">
        <v>0</v>
      </c>
      <c r="AQ119" s="49">
        <v>0.1</v>
      </c>
      <c r="AR119" s="49">
        <f>IF($AO119&gt;[1]Basic!$D$29,0,VLOOKUP(MIN($AO119,6),[1]Specs!$Q$5:$R$11,2,0))</f>
        <v>0</v>
      </c>
      <c r="AS119" s="49">
        <v>0.08</v>
      </c>
      <c r="AT119" s="50">
        <f t="shared" si="20"/>
        <v>0</v>
      </c>
      <c r="AV119" s="20">
        <f t="shared" si="29"/>
        <v>112</v>
      </c>
      <c r="AW119" s="51">
        <f t="shared" si="33"/>
        <v>0</v>
      </c>
      <c r="AX119" s="23">
        <f t="shared" si="34"/>
        <v>0.1</v>
      </c>
      <c r="AY119" s="23">
        <f t="shared" si="35"/>
        <v>0</v>
      </c>
      <c r="AZ119" s="23">
        <f t="shared" si="36"/>
        <v>0.08</v>
      </c>
      <c r="BA119" s="52">
        <f t="shared" si="37"/>
        <v>0</v>
      </c>
      <c r="BC119" s="20">
        <f t="shared" si="30"/>
        <v>112</v>
      </c>
      <c r="BD119" s="51">
        <f t="shared" si="31"/>
        <v>0.99999999999999989</v>
      </c>
      <c r="BE119" s="52"/>
    </row>
    <row r="120" spans="2:57" x14ac:dyDescent="0.2">
      <c r="B120" s="20">
        <f t="shared" si="26"/>
        <v>112</v>
      </c>
      <c r="C120" s="44">
        <v>1</v>
      </c>
      <c r="D120" s="45">
        <v>1</v>
      </c>
      <c r="E120" s="45">
        <v>1</v>
      </c>
      <c r="F120" s="45">
        <v>1</v>
      </c>
      <c r="G120" s="45">
        <f>(M120*($G$4+$H$2)+$G$5*O120)*(IF(B120&gt;=Age,$G$1*VLOOKUP('Q-Rates'!B120-Age+1,'Q-Rates'!$BC$8:$BD$128,2,0),1))</f>
        <v>0</v>
      </c>
      <c r="H120" s="45">
        <f>(N120*($H$4+$H$2)+$H$5*P120)*(IF(B120&gt;=Age,$G$1*VLOOKUP('Q-Rates'!B120-Age+1,'Q-Rates'!$BC$8:$BD$128,2,0),1))</f>
        <v>0</v>
      </c>
      <c r="I120" s="45">
        <f t="shared" si="32"/>
        <v>0</v>
      </c>
      <c r="J120" s="45">
        <f t="shared" si="27"/>
        <v>0</v>
      </c>
      <c r="K120" s="45">
        <f>(S120*$K$5)*(IF(B120&gt;=Age,$K$1*VLOOKUP('Q-Rates'!B120-Age+1,'Q-Rates'!$BC$8:$BD$128,2,0),1))</f>
        <v>0</v>
      </c>
      <c r="L120" s="45">
        <f>(T120*$L$5)*(IF(B120&gt;=Age,$L$1*VLOOKUP('Q-Rates'!B120-Age+1,'Q-Rates'!$BC$8:$BD$128,2,0),1))</f>
        <v>0</v>
      </c>
      <c r="M120" s="45">
        <f>RI!Y98/1000</f>
        <v>0</v>
      </c>
      <c r="N120" s="45">
        <f>RI!Z98/1000</f>
        <v>0</v>
      </c>
      <c r="O120" s="45">
        <f>RI!AB98/1000</f>
        <v>0</v>
      </c>
      <c r="P120" s="45">
        <f>RI!AC98/1000</f>
        <v>0</v>
      </c>
      <c r="Q120" s="45">
        <f>RI!AE98/1000</f>
        <v>0</v>
      </c>
      <c r="R120" s="45">
        <f>RI!AF98/1000</f>
        <v>0</v>
      </c>
      <c r="S120" s="45">
        <f>RI!AH98/1000</f>
        <v>0</v>
      </c>
      <c r="T120" s="45">
        <f>RI!AI98/1000</f>
        <v>0</v>
      </c>
      <c r="U120" s="45"/>
      <c r="V120" s="45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7">
        <v>0</v>
      </c>
      <c r="AO120" s="20">
        <f t="shared" si="28"/>
        <v>113</v>
      </c>
      <c r="AP120" s="48">
        <v>0</v>
      </c>
      <c r="AQ120" s="49">
        <v>0.1</v>
      </c>
      <c r="AR120" s="49">
        <f>IF($AO120&gt;[1]Basic!$D$29,0,VLOOKUP(MIN($AO120,6),[1]Specs!$Q$5:$R$11,2,0))</f>
        <v>0</v>
      </c>
      <c r="AS120" s="49">
        <v>0.08</v>
      </c>
      <c r="AT120" s="50">
        <f t="shared" si="20"/>
        <v>0</v>
      </c>
      <c r="AV120" s="20">
        <f t="shared" si="29"/>
        <v>113</v>
      </c>
      <c r="AW120" s="51">
        <f t="shared" si="33"/>
        <v>0</v>
      </c>
      <c r="AX120" s="23">
        <f t="shared" si="34"/>
        <v>0.1</v>
      </c>
      <c r="AY120" s="23">
        <f t="shared" si="35"/>
        <v>0</v>
      </c>
      <c r="AZ120" s="23">
        <f t="shared" si="36"/>
        <v>0.08</v>
      </c>
      <c r="BA120" s="52">
        <f t="shared" si="37"/>
        <v>0</v>
      </c>
      <c r="BC120" s="20">
        <f t="shared" si="30"/>
        <v>113</v>
      </c>
      <c r="BD120" s="51">
        <f t="shared" si="31"/>
        <v>0.99999999999999989</v>
      </c>
      <c r="BE120" s="52"/>
    </row>
    <row r="121" spans="2:57" x14ac:dyDescent="0.2">
      <c r="B121" s="20">
        <f t="shared" si="26"/>
        <v>113</v>
      </c>
      <c r="C121" s="44">
        <v>1</v>
      </c>
      <c r="D121" s="45">
        <v>1</v>
      </c>
      <c r="E121" s="45">
        <v>1</v>
      </c>
      <c r="F121" s="45">
        <v>1</v>
      </c>
      <c r="G121" s="45">
        <f>(M121*($G$4+$H$2)+$G$5*O121)*(IF(B121&gt;=Age,$G$1*VLOOKUP('Q-Rates'!B121-Age+1,'Q-Rates'!$BC$8:$BD$128,2,0),1))</f>
        <v>0</v>
      </c>
      <c r="H121" s="45">
        <f>(N121*($H$4+$H$2)+$H$5*P121)*(IF(B121&gt;=Age,$G$1*VLOOKUP('Q-Rates'!B121-Age+1,'Q-Rates'!$BC$8:$BD$128,2,0),1))</f>
        <v>0</v>
      </c>
      <c r="I121" s="45">
        <f t="shared" si="32"/>
        <v>0</v>
      </c>
      <c r="J121" s="45">
        <f t="shared" si="27"/>
        <v>0</v>
      </c>
      <c r="K121" s="45">
        <f>(S121*$K$5)*(IF(B121&gt;=Age,$K$1*VLOOKUP('Q-Rates'!B121-Age+1,'Q-Rates'!$BC$8:$BD$128,2,0),1))</f>
        <v>0</v>
      </c>
      <c r="L121" s="45">
        <f>(T121*$L$5)*(IF(B121&gt;=Age,$L$1*VLOOKUP('Q-Rates'!B121-Age+1,'Q-Rates'!$BC$8:$BD$128,2,0),1))</f>
        <v>0</v>
      </c>
      <c r="M121" s="45">
        <f>RI!Y99/1000</f>
        <v>0</v>
      </c>
      <c r="N121" s="45">
        <f>RI!Z99/1000</f>
        <v>0</v>
      </c>
      <c r="O121" s="45">
        <f>RI!AB99/1000</f>
        <v>0</v>
      </c>
      <c r="P121" s="45">
        <f>RI!AC99/1000</f>
        <v>0</v>
      </c>
      <c r="Q121" s="45">
        <f>RI!AE99/1000</f>
        <v>0</v>
      </c>
      <c r="R121" s="45">
        <f>RI!AF99/1000</f>
        <v>0</v>
      </c>
      <c r="S121" s="45">
        <f>RI!AH99/1000</f>
        <v>0</v>
      </c>
      <c r="T121" s="45">
        <f>RI!AI99/1000</f>
        <v>0</v>
      </c>
      <c r="U121" s="45"/>
      <c r="V121" s="45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7">
        <v>0</v>
      </c>
      <c r="AO121" s="20">
        <f t="shared" si="28"/>
        <v>114</v>
      </c>
      <c r="AP121" s="48">
        <v>0</v>
      </c>
      <c r="AQ121" s="49">
        <v>0.1</v>
      </c>
      <c r="AR121" s="49">
        <f>IF($AO121&gt;[1]Basic!$D$29,0,VLOOKUP(MIN($AO121,6),[1]Specs!$Q$5:$R$11,2,0))</f>
        <v>0</v>
      </c>
      <c r="AS121" s="49">
        <v>0.08</v>
      </c>
      <c r="AT121" s="50">
        <f t="shared" si="20"/>
        <v>0</v>
      </c>
      <c r="AV121" s="20">
        <f t="shared" si="29"/>
        <v>114</v>
      </c>
      <c r="AW121" s="51">
        <f t="shared" si="33"/>
        <v>0</v>
      </c>
      <c r="AX121" s="23">
        <f t="shared" si="34"/>
        <v>0.1</v>
      </c>
      <c r="AY121" s="23">
        <f t="shared" si="35"/>
        <v>0</v>
      </c>
      <c r="AZ121" s="23">
        <f t="shared" si="36"/>
        <v>0.08</v>
      </c>
      <c r="BA121" s="52">
        <f t="shared" si="37"/>
        <v>0</v>
      </c>
      <c r="BC121" s="20">
        <f t="shared" si="30"/>
        <v>114</v>
      </c>
      <c r="BD121" s="51">
        <f t="shared" si="31"/>
        <v>0.99999999999999989</v>
      </c>
      <c r="BE121" s="52"/>
    </row>
    <row r="122" spans="2:57" x14ac:dyDescent="0.2">
      <c r="B122" s="20">
        <f t="shared" si="26"/>
        <v>114</v>
      </c>
      <c r="C122" s="44">
        <v>1</v>
      </c>
      <c r="D122" s="45">
        <v>1</v>
      </c>
      <c r="E122" s="45">
        <v>1</v>
      </c>
      <c r="F122" s="45">
        <v>1</v>
      </c>
      <c r="G122" s="45">
        <f>(M122*($G$4+$H$2)+$G$5*O122)*(IF(B122&gt;=Age,$G$1*VLOOKUP('Q-Rates'!B122-Age+1,'Q-Rates'!$BC$8:$BD$128,2,0),1))</f>
        <v>0</v>
      </c>
      <c r="H122" s="45">
        <f>(N122*($H$4+$H$2)+$H$5*P122)*(IF(B122&gt;=Age,$G$1*VLOOKUP('Q-Rates'!B122-Age+1,'Q-Rates'!$BC$8:$BD$128,2,0),1))</f>
        <v>0</v>
      </c>
      <c r="I122" s="45">
        <f t="shared" si="32"/>
        <v>0</v>
      </c>
      <c r="J122" s="45">
        <f t="shared" si="27"/>
        <v>0</v>
      </c>
      <c r="K122" s="45">
        <f>(S122*$K$5)*(IF(B122&gt;=Age,$K$1*VLOOKUP('Q-Rates'!B122-Age+1,'Q-Rates'!$BC$8:$BD$128,2,0),1))</f>
        <v>0</v>
      </c>
      <c r="L122" s="45">
        <f>(T122*$L$5)*(IF(B122&gt;=Age,$L$1*VLOOKUP('Q-Rates'!B122-Age+1,'Q-Rates'!$BC$8:$BD$128,2,0),1))</f>
        <v>0</v>
      </c>
      <c r="M122" s="45">
        <f>RI!Y100/1000</f>
        <v>0</v>
      </c>
      <c r="N122" s="45">
        <f>RI!Z100/1000</f>
        <v>0</v>
      </c>
      <c r="O122" s="45">
        <f>RI!AB100/1000</f>
        <v>0</v>
      </c>
      <c r="P122" s="45">
        <f>RI!AC100/1000</f>
        <v>0</v>
      </c>
      <c r="Q122" s="45">
        <f>RI!AE100/1000</f>
        <v>0</v>
      </c>
      <c r="R122" s="45">
        <f>RI!AF100/1000</f>
        <v>0</v>
      </c>
      <c r="S122" s="45">
        <f>RI!AH100/1000</f>
        <v>0</v>
      </c>
      <c r="T122" s="45">
        <f>RI!AI100/1000</f>
        <v>0</v>
      </c>
      <c r="U122" s="45"/>
      <c r="V122" s="45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7">
        <v>0</v>
      </c>
      <c r="AO122" s="20">
        <f t="shared" si="28"/>
        <v>115</v>
      </c>
      <c r="AP122" s="48">
        <v>0</v>
      </c>
      <c r="AQ122" s="49">
        <v>0.1</v>
      </c>
      <c r="AR122" s="49">
        <f>IF($AO122&gt;[1]Basic!$D$29,0,VLOOKUP(MIN($AO122,6),[1]Specs!$Q$5:$R$11,2,0))</f>
        <v>0</v>
      </c>
      <c r="AS122" s="49">
        <v>0.08</v>
      </c>
      <c r="AT122" s="50">
        <f t="shared" si="20"/>
        <v>0</v>
      </c>
      <c r="AV122" s="20">
        <f t="shared" si="29"/>
        <v>115</v>
      </c>
      <c r="AW122" s="51">
        <f t="shared" si="33"/>
        <v>0</v>
      </c>
      <c r="AX122" s="23">
        <f t="shared" si="34"/>
        <v>0.1</v>
      </c>
      <c r="AY122" s="23">
        <f t="shared" si="35"/>
        <v>0</v>
      </c>
      <c r="AZ122" s="23">
        <f t="shared" si="36"/>
        <v>0.08</v>
      </c>
      <c r="BA122" s="52">
        <f t="shared" si="37"/>
        <v>0</v>
      </c>
      <c r="BC122" s="20">
        <f t="shared" si="30"/>
        <v>115</v>
      </c>
      <c r="BD122" s="51">
        <f t="shared" si="31"/>
        <v>0.99999999999999989</v>
      </c>
      <c r="BE122" s="52"/>
    </row>
    <row r="123" spans="2:57" x14ac:dyDescent="0.2">
      <c r="B123" s="20">
        <f t="shared" si="26"/>
        <v>115</v>
      </c>
      <c r="C123" s="44">
        <v>1</v>
      </c>
      <c r="D123" s="45">
        <v>1</v>
      </c>
      <c r="E123" s="45">
        <v>1</v>
      </c>
      <c r="F123" s="45">
        <v>1</v>
      </c>
      <c r="G123" s="45">
        <f>(M123*($G$4+$H$2)+$G$5*O123)*(IF(B123&gt;=Age,$G$1*VLOOKUP('Q-Rates'!B123-Age+1,'Q-Rates'!$BC$8:$BD$128,2,0),1))</f>
        <v>0</v>
      </c>
      <c r="H123" s="45">
        <f>(N123*($H$4+$H$2)+$H$5*P123)*(IF(B123&gt;=Age,$G$1*VLOOKUP('Q-Rates'!B123-Age+1,'Q-Rates'!$BC$8:$BD$128,2,0),1))</f>
        <v>0</v>
      </c>
      <c r="I123" s="45">
        <f t="shared" si="32"/>
        <v>0</v>
      </c>
      <c r="J123" s="45">
        <f t="shared" si="27"/>
        <v>0</v>
      </c>
      <c r="K123" s="45">
        <f>(S123*$K$5)*(IF(B123&gt;=Age,$K$1*VLOOKUP('Q-Rates'!B123-Age+1,'Q-Rates'!$BC$8:$BD$128,2,0),1))</f>
        <v>0</v>
      </c>
      <c r="L123" s="45">
        <f>(T123*$L$5)*(IF(B123&gt;=Age,$L$1*VLOOKUP('Q-Rates'!B123-Age+1,'Q-Rates'!$BC$8:$BD$128,2,0),1))</f>
        <v>0</v>
      </c>
      <c r="M123" s="45">
        <f>RI!Y101/1000</f>
        <v>0</v>
      </c>
      <c r="N123" s="45">
        <f>RI!Z101/1000</f>
        <v>0</v>
      </c>
      <c r="O123" s="45">
        <f>RI!AB101/1000</f>
        <v>0</v>
      </c>
      <c r="P123" s="45">
        <f>RI!AC101/1000</f>
        <v>0</v>
      </c>
      <c r="Q123" s="45">
        <f>RI!AE101/1000</f>
        <v>0</v>
      </c>
      <c r="R123" s="45">
        <f>RI!AF101/1000</f>
        <v>0</v>
      </c>
      <c r="S123" s="45">
        <f>RI!AH101/1000</f>
        <v>0</v>
      </c>
      <c r="T123" s="45">
        <f>RI!AI101/1000</f>
        <v>0</v>
      </c>
      <c r="U123" s="45"/>
      <c r="V123" s="45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7">
        <v>0</v>
      </c>
      <c r="AO123" s="20">
        <f t="shared" si="28"/>
        <v>116</v>
      </c>
      <c r="AP123" s="48">
        <v>0</v>
      </c>
      <c r="AQ123" s="49">
        <v>0.1</v>
      </c>
      <c r="AR123" s="49">
        <f>IF($AO123&gt;[1]Basic!$D$29,0,VLOOKUP(MIN($AO123,6),[1]Specs!$Q$5:$R$11,2,0))</f>
        <v>0</v>
      </c>
      <c r="AS123" s="49">
        <v>0.08</v>
      </c>
      <c r="AT123" s="50">
        <f t="shared" si="20"/>
        <v>0</v>
      </c>
      <c r="AV123" s="20">
        <f t="shared" si="29"/>
        <v>116</v>
      </c>
      <c r="AW123" s="51">
        <f t="shared" si="33"/>
        <v>0</v>
      </c>
      <c r="AX123" s="23">
        <f t="shared" si="34"/>
        <v>0.1</v>
      </c>
      <c r="AY123" s="23">
        <f t="shared" si="35"/>
        <v>0</v>
      </c>
      <c r="AZ123" s="23">
        <f t="shared" si="36"/>
        <v>0.08</v>
      </c>
      <c r="BA123" s="52">
        <f t="shared" si="37"/>
        <v>0</v>
      </c>
      <c r="BC123" s="20">
        <f t="shared" si="30"/>
        <v>116</v>
      </c>
      <c r="BD123" s="51">
        <f t="shared" si="31"/>
        <v>0.99999999999999989</v>
      </c>
      <c r="BE123" s="52"/>
    </row>
    <row r="124" spans="2:57" x14ac:dyDescent="0.2">
      <c r="B124" s="20">
        <f t="shared" si="26"/>
        <v>116</v>
      </c>
      <c r="C124" s="44">
        <v>1</v>
      </c>
      <c r="D124" s="45">
        <v>1</v>
      </c>
      <c r="E124" s="45">
        <v>1</v>
      </c>
      <c r="F124" s="45">
        <v>1</v>
      </c>
      <c r="G124" s="45">
        <f>(M124*($G$4+$H$2)+$G$5*O124)*(IF(B124&gt;=Age,$G$1*VLOOKUP('Q-Rates'!B124-Age+1,'Q-Rates'!$BC$8:$BD$128,2,0),1))</f>
        <v>0</v>
      </c>
      <c r="H124" s="45">
        <f>(N124*($H$4+$H$2)+$H$5*P124)*(IF(B124&gt;=Age,$G$1*VLOOKUP('Q-Rates'!B124-Age+1,'Q-Rates'!$BC$8:$BD$128,2,0),1))</f>
        <v>0</v>
      </c>
      <c r="I124" s="45">
        <f t="shared" si="32"/>
        <v>0</v>
      </c>
      <c r="J124" s="45">
        <f t="shared" si="27"/>
        <v>0</v>
      </c>
      <c r="K124" s="45">
        <f>(S124*$K$5)*(IF(B124&gt;=Age,$K$1*VLOOKUP('Q-Rates'!B124-Age+1,'Q-Rates'!$BC$8:$BD$128,2,0),1))</f>
        <v>0</v>
      </c>
      <c r="L124" s="45">
        <f>(T124*$L$5)*(IF(B124&gt;=Age,$L$1*VLOOKUP('Q-Rates'!B124-Age+1,'Q-Rates'!$BC$8:$BD$128,2,0),1))</f>
        <v>0</v>
      </c>
      <c r="M124" s="45">
        <f>RI!Y102/1000</f>
        <v>0</v>
      </c>
      <c r="N124" s="45">
        <f>RI!Z102/1000</f>
        <v>0</v>
      </c>
      <c r="O124" s="45">
        <f>RI!AB102/1000</f>
        <v>0</v>
      </c>
      <c r="P124" s="45">
        <f>RI!AC102/1000</f>
        <v>0</v>
      </c>
      <c r="Q124" s="45">
        <f>RI!AE102/1000</f>
        <v>0</v>
      </c>
      <c r="R124" s="45">
        <f>RI!AF102/1000</f>
        <v>0</v>
      </c>
      <c r="S124" s="45">
        <f>RI!AH102/1000</f>
        <v>0</v>
      </c>
      <c r="T124" s="45">
        <f>RI!AI102/1000</f>
        <v>0</v>
      </c>
      <c r="U124" s="45"/>
      <c r="V124" s="45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7">
        <v>0</v>
      </c>
      <c r="AO124" s="20">
        <f t="shared" si="28"/>
        <v>117</v>
      </c>
      <c r="AP124" s="48">
        <v>0</v>
      </c>
      <c r="AQ124" s="49">
        <v>0.1</v>
      </c>
      <c r="AR124" s="49">
        <f>IF($AO124&gt;[1]Basic!$D$29,0,VLOOKUP(MIN($AO124,6),[1]Specs!$Q$5:$R$11,2,0))</f>
        <v>0</v>
      </c>
      <c r="AS124" s="49">
        <v>0.08</v>
      </c>
      <c r="AT124" s="50">
        <f t="shared" si="20"/>
        <v>0</v>
      </c>
      <c r="AV124" s="20">
        <f t="shared" si="29"/>
        <v>117</v>
      </c>
      <c r="AW124" s="51">
        <f t="shared" si="33"/>
        <v>0</v>
      </c>
      <c r="AX124" s="23">
        <f t="shared" si="34"/>
        <v>0.1</v>
      </c>
      <c r="AY124" s="23">
        <f t="shared" si="35"/>
        <v>0</v>
      </c>
      <c r="AZ124" s="23">
        <f t="shared" si="36"/>
        <v>0.08</v>
      </c>
      <c r="BA124" s="52">
        <f t="shared" si="37"/>
        <v>0</v>
      </c>
      <c r="BC124" s="20">
        <f t="shared" si="30"/>
        <v>117</v>
      </c>
      <c r="BD124" s="51">
        <f t="shared" si="31"/>
        <v>0.99999999999999989</v>
      </c>
      <c r="BE124" s="52"/>
    </row>
    <row r="125" spans="2:57" x14ac:dyDescent="0.2">
      <c r="B125" s="20">
        <f t="shared" si="26"/>
        <v>117</v>
      </c>
      <c r="C125" s="44">
        <v>1</v>
      </c>
      <c r="D125" s="45">
        <v>1</v>
      </c>
      <c r="E125" s="45">
        <v>1</v>
      </c>
      <c r="F125" s="45">
        <v>1</v>
      </c>
      <c r="G125" s="45">
        <f>(M125*($G$4+$H$2)+$G$5*O125)*(IF(B125&gt;=Age,$G$1*VLOOKUP('Q-Rates'!B125-Age+1,'Q-Rates'!$BC$8:$BD$128,2,0),1))</f>
        <v>0</v>
      </c>
      <c r="H125" s="45">
        <f>(N125*($H$4+$H$2)+$H$5*P125)*(IF(B125&gt;=Age,$G$1*VLOOKUP('Q-Rates'!B125-Age+1,'Q-Rates'!$BC$8:$BD$128,2,0),1))</f>
        <v>0</v>
      </c>
      <c r="I125" s="45">
        <f t="shared" si="32"/>
        <v>0</v>
      </c>
      <c r="J125" s="45">
        <f t="shared" si="27"/>
        <v>0</v>
      </c>
      <c r="K125" s="45">
        <f>(S125*$K$5)*(IF(B125&gt;=Age,$K$1*VLOOKUP('Q-Rates'!B125-Age+1,'Q-Rates'!$BC$8:$BD$128,2,0),1))</f>
        <v>0</v>
      </c>
      <c r="L125" s="45">
        <f>(T125*$L$5)*(IF(B125&gt;=Age,$L$1*VLOOKUP('Q-Rates'!B125-Age+1,'Q-Rates'!$BC$8:$BD$128,2,0),1))</f>
        <v>0</v>
      </c>
      <c r="M125" s="45">
        <f>RI!Y103/1000</f>
        <v>0</v>
      </c>
      <c r="N125" s="45">
        <f>RI!Z103/1000</f>
        <v>0</v>
      </c>
      <c r="O125" s="45">
        <f>RI!AB103/1000</f>
        <v>0</v>
      </c>
      <c r="P125" s="45">
        <f>RI!AC103/1000</f>
        <v>0</v>
      </c>
      <c r="Q125" s="45">
        <f>RI!AE103/1000</f>
        <v>0</v>
      </c>
      <c r="R125" s="45">
        <f>RI!AF103/1000</f>
        <v>0</v>
      </c>
      <c r="S125" s="45">
        <f>RI!AH103/1000</f>
        <v>0</v>
      </c>
      <c r="T125" s="45">
        <f>RI!AI103/1000</f>
        <v>0</v>
      </c>
      <c r="U125" s="45"/>
      <c r="V125" s="45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7">
        <v>0</v>
      </c>
      <c r="AO125" s="20">
        <f t="shared" si="28"/>
        <v>118</v>
      </c>
      <c r="AP125" s="48">
        <v>0</v>
      </c>
      <c r="AQ125" s="49">
        <v>0.1</v>
      </c>
      <c r="AR125" s="49">
        <f>IF($AO125&gt;[1]Basic!$D$29,0,VLOOKUP(MIN($AO125,6),[1]Specs!$Q$5:$R$11,2,0))</f>
        <v>0</v>
      </c>
      <c r="AS125" s="49">
        <v>0.08</v>
      </c>
      <c r="AT125" s="50">
        <f t="shared" si="20"/>
        <v>0</v>
      </c>
      <c r="AV125" s="20">
        <f t="shared" si="29"/>
        <v>118</v>
      </c>
      <c r="AW125" s="51">
        <f t="shared" si="33"/>
        <v>0</v>
      </c>
      <c r="AX125" s="23">
        <f t="shared" si="34"/>
        <v>0.1</v>
      </c>
      <c r="AY125" s="23">
        <f t="shared" si="35"/>
        <v>0</v>
      </c>
      <c r="AZ125" s="23">
        <f t="shared" si="36"/>
        <v>0.08</v>
      </c>
      <c r="BA125" s="52">
        <f t="shared" si="37"/>
        <v>0</v>
      </c>
      <c r="BC125" s="20">
        <f t="shared" si="30"/>
        <v>118</v>
      </c>
      <c r="BD125" s="51">
        <f t="shared" si="31"/>
        <v>0.99999999999999989</v>
      </c>
      <c r="BE125" s="52"/>
    </row>
    <row r="126" spans="2:57" x14ac:dyDescent="0.2">
      <c r="B126" s="20">
        <f t="shared" si="26"/>
        <v>118</v>
      </c>
      <c r="C126" s="44">
        <v>1</v>
      </c>
      <c r="D126" s="45">
        <v>1</v>
      </c>
      <c r="E126" s="45">
        <v>1</v>
      </c>
      <c r="F126" s="45">
        <v>1</v>
      </c>
      <c r="G126" s="45">
        <f>(M126*($G$4+$H$2)+$G$5*O126)*(IF(B126&gt;=Age,$G$1*VLOOKUP('Q-Rates'!B126-Age+1,'Q-Rates'!$BC$8:$BD$128,2,0),1))</f>
        <v>0</v>
      </c>
      <c r="H126" s="45">
        <f>(N126*($H$4+$H$2)+$H$5*P126)*(IF(B126&gt;=Age,$G$1*VLOOKUP('Q-Rates'!B126-Age+1,'Q-Rates'!$BC$8:$BD$128,2,0),1))</f>
        <v>0</v>
      </c>
      <c r="I126" s="45">
        <f t="shared" si="32"/>
        <v>0</v>
      </c>
      <c r="J126" s="45">
        <f t="shared" si="27"/>
        <v>0</v>
      </c>
      <c r="K126" s="45">
        <f>(S126*$K$5)*(IF(B126&gt;=Age,$K$1*VLOOKUP('Q-Rates'!B126-Age+1,'Q-Rates'!$BC$8:$BD$128,2,0),1))</f>
        <v>0</v>
      </c>
      <c r="L126" s="45">
        <f>(T126*$L$5)*(IF(B126&gt;=Age,$L$1*VLOOKUP('Q-Rates'!B126-Age+1,'Q-Rates'!$BC$8:$BD$128,2,0),1))</f>
        <v>0</v>
      </c>
      <c r="M126" s="45">
        <f>RI!Y104/1000</f>
        <v>0</v>
      </c>
      <c r="N126" s="45">
        <f>RI!Z104/1000</f>
        <v>0</v>
      </c>
      <c r="O126" s="45">
        <f>RI!AB104/1000</f>
        <v>0</v>
      </c>
      <c r="P126" s="45">
        <f>RI!AC104/1000</f>
        <v>0</v>
      </c>
      <c r="Q126" s="45">
        <f>RI!AE104/1000</f>
        <v>0</v>
      </c>
      <c r="R126" s="45">
        <f>RI!AF104/1000</f>
        <v>0</v>
      </c>
      <c r="S126" s="45">
        <f>RI!AH104/1000</f>
        <v>0</v>
      </c>
      <c r="T126" s="45">
        <f>RI!AI104/1000</f>
        <v>0</v>
      </c>
      <c r="U126" s="45"/>
      <c r="V126" s="45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7">
        <v>0</v>
      </c>
      <c r="AO126" s="20">
        <f t="shared" si="28"/>
        <v>119</v>
      </c>
      <c r="AP126" s="48">
        <v>0</v>
      </c>
      <c r="AQ126" s="49">
        <v>0.1</v>
      </c>
      <c r="AR126" s="49">
        <f>IF($AO126&gt;[1]Basic!$D$29,0,VLOOKUP(MIN($AO126,6),[1]Specs!$Q$5:$R$11,2,0))</f>
        <v>0</v>
      </c>
      <c r="AS126" s="49">
        <v>0.08</v>
      </c>
      <c r="AT126" s="50">
        <f t="shared" si="20"/>
        <v>0</v>
      </c>
      <c r="AV126" s="20">
        <f t="shared" si="29"/>
        <v>119</v>
      </c>
      <c r="AW126" s="51">
        <f t="shared" si="33"/>
        <v>0</v>
      </c>
      <c r="AX126" s="23">
        <f t="shared" si="34"/>
        <v>0.1</v>
      </c>
      <c r="AY126" s="23">
        <f t="shared" si="35"/>
        <v>0</v>
      </c>
      <c r="AZ126" s="23">
        <f t="shared" si="36"/>
        <v>0.08</v>
      </c>
      <c r="BA126" s="52">
        <f t="shared" si="37"/>
        <v>0</v>
      </c>
      <c r="BC126" s="20">
        <f t="shared" si="30"/>
        <v>119</v>
      </c>
      <c r="BD126" s="51">
        <f t="shared" si="31"/>
        <v>0.99999999999999989</v>
      </c>
      <c r="BE126" s="52"/>
    </row>
    <row r="127" spans="2:57" x14ac:dyDescent="0.2">
      <c r="B127" s="20">
        <f t="shared" si="26"/>
        <v>119</v>
      </c>
      <c r="C127" s="44">
        <v>1</v>
      </c>
      <c r="D127" s="45">
        <v>1</v>
      </c>
      <c r="E127" s="45">
        <v>1</v>
      </c>
      <c r="F127" s="45">
        <v>1</v>
      </c>
      <c r="G127" s="45">
        <f>(M127*($G$4+$H$2)+$G$5*O127)*(IF(B127&gt;=Age,$G$1*VLOOKUP('Q-Rates'!B127-Age+1,'Q-Rates'!$BC$8:$BD$128,2,0),1))</f>
        <v>0</v>
      </c>
      <c r="H127" s="45">
        <f>(N127*($H$4+$H$2)+$H$5*P127)*(IF(B127&gt;=Age,$G$1*VLOOKUP('Q-Rates'!B127-Age+1,'Q-Rates'!$BC$8:$BD$128,2,0),1))</f>
        <v>0</v>
      </c>
      <c r="I127" s="45">
        <f t="shared" si="32"/>
        <v>0</v>
      </c>
      <c r="J127" s="45">
        <f t="shared" si="27"/>
        <v>0</v>
      </c>
      <c r="K127" s="45">
        <f>(S127*$K$5)*(IF(B127&gt;=Age,$K$1*VLOOKUP('Q-Rates'!B127-Age+1,'Q-Rates'!$BC$8:$BD$128,2,0),1))</f>
        <v>0</v>
      </c>
      <c r="L127" s="45">
        <f>(T127*$L$5)*(IF(B127&gt;=Age,$L$1*VLOOKUP('Q-Rates'!B127-Age+1,'Q-Rates'!$BC$8:$BD$128,2,0),1))</f>
        <v>0</v>
      </c>
      <c r="M127" s="45">
        <f>RI!Y105/1000</f>
        <v>0</v>
      </c>
      <c r="N127" s="45">
        <f>RI!Z105/1000</f>
        <v>0</v>
      </c>
      <c r="O127" s="45">
        <f>RI!AB105/1000</f>
        <v>0</v>
      </c>
      <c r="P127" s="45">
        <f>RI!AC105/1000</f>
        <v>0</v>
      </c>
      <c r="Q127" s="45">
        <f>RI!AE105/1000</f>
        <v>0</v>
      </c>
      <c r="R127" s="45">
        <f>RI!AF105/1000</f>
        <v>0</v>
      </c>
      <c r="S127" s="45">
        <f>RI!AH105/1000</f>
        <v>0</v>
      </c>
      <c r="T127" s="45">
        <f>RI!AI105/1000</f>
        <v>0</v>
      </c>
      <c r="U127" s="45"/>
      <c r="V127" s="45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7">
        <v>0</v>
      </c>
      <c r="AO127" s="20">
        <f t="shared" si="28"/>
        <v>120</v>
      </c>
      <c r="AP127" s="48">
        <v>0</v>
      </c>
      <c r="AQ127" s="49">
        <v>0.1</v>
      </c>
      <c r="AR127" s="49">
        <f>IF($AO127&gt;[1]Basic!$D$29,0,VLOOKUP(MIN($AO127,6),[1]Specs!$Q$5:$R$11,2,0))</f>
        <v>0</v>
      </c>
      <c r="AS127" s="49">
        <v>0.08</v>
      </c>
      <c r="AT127" s="50">
        <f t="shared" si="20"/>
        <v>0</v>
      </c>
      <c r="AV127" s="20">
        <f t="shared" si="29"/>
        <v>120</v>
      </c>
      <c r="AW127" s="51">
        <f t="shared" si="33"/>
        <v>0</v>
      </c>
      <c r="AX127" s="23">
        <f t="shared" si="34"/>
        <v>0.1</v>
      </c>
      <c r="AY127" s="23">
        <f t="shared" si="35"/>
        <v>0</v>
      </c>
      <c r="AZ127" s="23">
        <f t="shared" si="36"/>
        <v>0.08</v>
      </c>
      <c r="BA127" s="52">
        <f t="shared" si="37"/>
        <v>0</v>
      </c>
      <c r="BC127" s="20">
        <f t="shared" si="30"/>
        <v>120</v>
      </c>
      <c r="BD127" s="51">
        <f t="shared" si="31"/>
        <v>0.99999999999999989</v>
      </c>
      <c r="BE127" s="52"/>
    </row>
    <row r="128" spans="2:57" ht="13.5" thickBot="1" x14ac:dyDescent="0.25">
      <c r="B128" s="20">
        <f t="shared" si="26"/>
        <v>120</v>
      </c>
      <c r="C128" s="56">
        <v>1</v>
      </c>
      <c r="D128" s="57">
        <v>1</v>
      </c>
      <c r="E128" s="57">
        <v>1</v>
      </c>
      <c r="F128" s="57">
        <v>1</v>
      </c>
      <c r="G128" s="57">
        <f>(M128*($G$4+$H$2)+$G$5*O128)*(IF(B128&gt;=Age,$G$1*VLOOKUP('Q-Rates'!B128-Age+1,'Q-Rates'!$BC$8:$BD$128,2,0),1))</f>
        <v>0</v>
      </c>
      <c r="H128" s="57">
        <f>(N128*($H$4+$H$2)+$H$5*P128)*(IF(B128&gt;=Age,$G$1*VLOOKUP('Q-Rates'!B128-Age+1,'Q-Rates'!$BC$8:$BD$128,2,0),1))</f>
        <v>0</v>
      </c>
      <c r="I128" s="57">
        <f t="shared" si="32"/>
        <v>0</v>
      </c>
      <c r="J128" s="57">
        <f t="shared" si="27"/>
        <v>0</v>
      </c>
      <c r="K128" s="57">
        <f>(S128*$K$5)*(IF(B128&gt;=Age,$K$1*VLOOKUP('Q-Rates'!B128-Age+1,'Q-Rates'!$BC$8:$BD$128,2,0),1))</f>
        <v>0</v>
      </c>
      <c r="L128" s="57">
        <f>(T128*$L$5)*(IF(B128&gt;=Age,$L$1*VLOOKUP('Q-Rates'!B128-Age+1,'Q-Rates'!$BC$8:$BD$128,2,0),1))</f>
        <v>0</v>
      </c>
      <c r="M128" s="57">
        <f>RI!Y106/1000</f>
        <v>0</v>
      </c>
      <c r="N128" s="57">
        <f>RI!Z106/1000</f>
        <v>0</v>
      </c>
      <c r="O128" s="57">
        <f>RI!AB106/1000</f>
        <v>0</v>
      </c>
      <c r="P128" s="57">
        <f>RI!AC106/1000</f>
        <v>0</v>
      </c>
      <c r="Q128" s="57">
        <f>RI!AE106/1000</f>
        <v>0</v>
      </c>
      <c r="R128" s="57">
        <f>RI!AF106/1000</f>
        <v>0</v>
      </c>
      <c r="S128" s="57">
        <f>RI!AH106/1000</f>
        <v>0</v>
      </c>
      <c r="T128" s="57">
        <f>RI!AI106/1000</f>
        <v>0</v>
      </c>
      <c r="U128" s="57"/>
      <c r="V128" s="57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9">
        <v>0</v>
      </c>
      <c r="AO128" s="20">
        <f t="shared" si="28"/>
        <v>121</v>
      </c>
      <c r="AP128" s="60">
        <v>0</v>
      </c>
      <c r="AQ128" s="61">
        <v>0.1</v>
      </c>
      <c r="AR128" s="61">
        <f>IF($AO128&gt;[1]Basic!$D$29,0,VLOOKUP(MIN($AO128,6),[1]Specs!$Q$5:$R$11,2,0))</f>
        <v>0</v>
      </c>
      <c r="AS128" s="61">
        <v>0.08</v>
      </c>
      <c r="AT128" s="62">
        <f t="shared" si="20"/>
        <v>0</v>
      </c>
      <c r="AV128" s="20">
        <f t="shared" si="29"/>
        <v>121</v>
      </c>
      <c r="AW128" s="63">
        <f t="shared" si="33"/>
        <v>0</v>
      </c>
      <c r="AX128" s="64">
        <f t="shared" si="34"/>
        <v>0.1</v>
      </c>
      <c r="AY128" s="64">
        <f t="shared" si="35"/>
        <v>0</v>
      </c>
      <c r="AZ128" s="64">
        <f t="shared" si="36"/>
        <v>0.08</v>
      </c>
      <c r="BA128" s="65">
        <f t="shared" si="37"/>
        <v>0</v>
      </c>
      <c r="BC128" s="20">
        <f t="shared" si="30"/>
        <v>121</v>
      </c>
      <c r="BD128" s="63">
        <f t="shared" si="31"/>
        <v>0.99999999999999989</v>
      </c>
      <c r="BE128" s="65"/>
    </row>
    <row r="129" spans="23:23" x14ac:dyDescent="0.2">
      <c r="W129" s="46"/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FFB6-E39D-49E7-959E-1ED7E02ABEF3}">
  <dimension ref="A1:AP63"/>
  <sheetViews>
    <sheetView zoomScale="85" zoomScaleNormal="85" workbookViewId="0">
      <selection activeCell="Y5" sqref="Y5"/>
    </sheetView>
  </sheetViews>
  <sheetFormatPr defaultRowHeight="12.75" x14ac:dyDescent="0.2"/>
  <cols>
    <col min="1" max="40" width="9.140625" style="1"/>
    <col min="41" max="41" width="11" style="1" bestFit="1" customWidth="1"/>
    <col min="42" max="16384" width="9.140625" style="1"/>
  </cols>
  <sheetData>
    <row r="1" spans="1:42" x14ac:dyDescent="0.2">
      <c r="A1" s="1" t="s">
        <v>0</v>
      </c>
      <c r="B1" s="2">
        <v>0.6</v>
      </c>
      <c r="C1" s="3" t="s">
        <v>1</v>
      </c>
      <c r="G1" s="4" t="s">
        <v>2</v>
      </c>
      <c r="J1" s="5"/>
      <c r="K1" s="4" t="s">
        <v>3</v>
      </c>
      <c r="N1" s="5"/>
      <c r="O1" s="4" t="s">
        <v>4</v>
      </c>
      <c r="R1" s="5"/>
      <c r="S1" s="4" t="s">
        <v>5</v>
      </c>
      <c r="V1" s="5"/>
      <c r="X1" s="2"/>
      <c r="Y1" s="3" t="s">
        <v>1</v>
      </c>
      <c r="Z1" s="6">
        <v>1</v>
      </c>
      <c r="AA1" s="2"/>
      <c r="AB1" s="3" t="s">
        <v>2</v>
      </c>
      <c r="AC1" s="6">
        <v>1</v>
      </c>
      <c r="AD1" s="2"/>
      <c r="AE1" s="3" t="s">
        <v>3</v>
      </c>
      <c r="AF1" s="6">
        <v>1</v>
      </c>
      <c r="AG1" s="2"/>
      <c r="AH1" s="3" t="s">
        <v>4</v>
      </c>
      <c r="AI1" s="6">
        <v>0.8</v>
      </c>
      <c r="AJ1" s="2"/>
      <c r="AK1" s="3" t="s">
        <v>5</v>
      </c>
      <c r="AL1" s="6">
        <v>1</v>
      </c>
    </row>
    <row r="2" spans="1:42" x14ac:dyDescent="0.2">
      <c r="A2" s="1" t="s">
        <v>6</v>
      </c>
      <c r="B2" s="2">
        <v>0.4</v>
      </c>
      <c r="C2" s="70" t="s">
        <v>0</v>
      </c>
      <c r="D2" s="70"/>
      <c r="E2" s="70" t="s">
        <v>6</v>
      </c>
      <c r="F2" s="70"/>
      <c r="G2" s="72" t="s">
        <v>0</v>
      </c>
      <c r="H2" s="70"/>
      <c r="I2" s="70" t="s">
        <v>6</v>
      </c>
      <c r="J2" s="71"/>
      <c r="K2" s="72" t="s">
        <v>0</v>
      </c>
      <c r="L2" s="70"/>
      <c r="M2" s="70" t="s">
        <v>6</v>
      </c>
      <c r="N2" s="71"/>
      <c r="O2" s="72" t="s">
        <v>0</v>
      </c>
      <c r="P2" s="70"/>
      <c r="Q2" s="70" t="s">
        <v>6</v>
      </c>
      <c r="R2" s="71"/>
      <c r="S2" s="72" t="s">
        <v>0</v>
      </c>
      <c r="T2" s="70"/>
      <c r="U2" s="70" t="s">
        <v>6</v>
      </c>
      <c r="V2" s="71"/>
      <c r="X2" s="2"/>
      <c r="Y2" s="70" t="s">
        <v>7</v>
      </c>
      <c r="Z2" s="70"/>
      <c r="AA2" s="2"/>
      <c r="AB2" s="70" t="s">
        <v>7</v>
      </c>
      <c r="AC2" s="70"/>
      <c r="AD2" s="2"/>
      <c r="AE2" s="70" t="s">
        <v>7</v>
      </c>
      <c r="AF2" s="70"/>
      <c r="AG2" s="2"/>
      <c r="AH2" s="70" t="s">
        <v>7</v>
      </c>
      <c r="AI2" s="70"/>
      <c r="AJ2" s="2"/>
      <c r="AK2" s="70" t="s">
        <v>7</v>
      </c>
      <c r="AL2" s="70"/>
    </row>
    <row r="3" spans="1:42" ht="15" x14ac:dyDescent="0.25">
      <c r="B3" s="7" t="s">
        <v>8</v>
      </c>
      <c r="C3" s="1" t="s">
        <v>9</v>
      </c>
      <c r="D3" s="1" t="s">
        <v>10</v>
      </c>
      <c r="E3" s="1" t="s">
        <v>9</v>
      </c>
      <c r="F3" s="1" t="s">
        <v>10</v>
      </c>
      <c r="G3" s="8" t="s">
        <v>9</v>
      </c>
      <c r="H3" s="1" t="s">
        <v>10</v>
      </c>
      <c r="I3" s="1" t="s">
        <v>9</v>
      </c>
      <c r="J3" s="5" t="s">
        <v>10</v>
      </c>
      <c r="K3" s="8" t="s">
        <v>9</v>
      </c>
      <c r="L3" s="1" t="s">
        <v>10</v>
      </c>
      <c r="M3" s="1" t="s">
        <v>9</v>
      </c>
      <c r="N3" s="5" t="s">
        <v>10</v>
      </c>
      <c r="O3" s="8" t="s">
        <v>9</v>
      </c>
      <c r="P3" s="1" t="s">
        <v>10</v>
      </c>
      <c r="Q3" s="1" t="s">
        <v>9</v>
      </c>
      <c r="R3" s="5" t="s">
        <v>10</v>
      </c>
      <c r="S3" s="8" t="s">
        <v>9</v>
      </c>
      <c r="T3" s="1" t="s">
        <v>10</v>
      </c>
      <c r="U3" s="1" t="s">
        <v>9</v>
      </c>
      <c r="V3" s="5" t="s">
        <v>10</v>
      </c>
      <c r="X3" s="7" t="s">
        <v>8</v>
      </c>
      <c r="Y3" s="1" t="s">
        <v>9</v>
      </c>
      <c r="Z3" s="1" t="s">
        <v>10</v>
      </c>
      <c r="AA3" s="7" t="s">
        <v>8</v>
      </c>
      <c r="AB3" s="1" t="s">
        <v>9</v>
      </c>
      <c r="AC3" s="1" t="s">
        <v>10</v>
      </c>
      <c r="AD3" s="7" t="s">
        <v>8</v>
      </c>
      <c r="AE3" s="1" t="s">
        <v>9</v>
      </c>
      <c r="AF3" s="1" t="s">
        <v>10</v>
      </c>
      <c r="AG3" s="7" t="s">
        <v>8</v>
      </c>
      <c r="AH3" s="1" t="s">
        <v>9</v>
      </c>
      <c r="AI3" s="1" t="s">
        <v>10</v>
      </c>
      <c r="AJ3" s="7" t="s">
        <v>8</v>
      </c>
      <c r="AK3" s="1" t="s">
        <v>9</v>
      </c>
      <c r="AL3" s="1" t="s">
        <v>10</v>
      </c>
    </row>
    <row r="4" spans="1:42" ht="15" x14ac:dyDescent="0.25">
      <c r="B4" s="1">
        <v>18</v>
      </c>
      <c r="C4" s="9">
        <v>0.76</v>
      </c>
      <c r="D4" s="9">
        <v>0.46</v>
      </c>
      <c r="E4" s="9">
        <v>0.7</v>
      </c>
      <c r="F4" s="9">
        <v>0.6</v>
      </c>
      <c r="G4" s="10">
        <v>0.11</v>
      </c>
      <c r="H4" s="11">
        <v>7.0000000000000007E-2</v>
      </c>
      <c r="I4" s="11">
        <v>0.24</v>
      </c>
      <c r="J4" s="12">
        <v>0.2</v>
      </c>
      <c r="K4" s="10">
        <v>0.31</v>
      </c>
      <c r="L4" s="11">
        <v>0.14000000000000001</v>
      </c>
      <c r="M4" s="13">
        <v>1</v>
      </c>
      <c r="N4" s="12">
        <v>0.41</v>
      </c>
      <c r="O4" s="10">
        <v>0.09</v>
      </c>
      <c r="P4" s="11">
        <v>0.1</v>
      </c>
      <c r="Q4" s="11">
        <v>0.15</v>
      </c>
      <c r="R4" s="12">
        <v>0.15</v>
      </c>
      <c r="S4" s="10"/>
      <c r="T4" s="11"/>
      <c r="U4" s="11">
        <v>1.1200000000000001</v>
      </c>
      <c r="V4" s="12">
        <v>0.97</v>
      </c>
      <c r="X4" s="1">
        <v>18</v>
      </c>
      <c r="Y4" s="9">
        <f>(C4*$B$1+E4*$B$2)*$Z$1</f>
        <v>0.73599999999999999</v>
      </c>
      <c r="Z4" s="9">
        <f>(D4*$B$1+F4*$B$2)*$Z$1</f>
        <v>0.51600000000000001</v>
      </c>
      <c r="AA4" s="1">
        <v>18</v>
      </c>
      <c r="AB4" s="9">
        <f>($B$1*G4+$B$2*I4)*$AC$1</f>
        <v>0.16200000000000001</v>
      </c>
      <c r="AC4" s="9">
        <f>($B$1*H4+$B$2*J4)*$AC$1</f>
        <v>0.12200000000000003</v>
      </c>
      <c r="AD4" s="1">
        <v>18</v>
      </c>
      <c r="AE4" s="9">
        <f>IF(K4="",($B$1+$B$2)*$N$14,($B$1*K4+$B$2*$N$14)*$AF$1)</f>
        <v>0.39240000000000003</v>
      </c>
      <c r="AF4" s="9">
        <f>IF(L4="",($B$1+$B$2)*$N$14,($B$1*L4+$B$2*$N$14)*$AF$1)</f>
        <v>0.29040000000000005</v>
      </c>
      <c r="AG4" s="1">
        <v>18</v>
      </c>
      <c r="AH4" s="9">
        <f>($B$1*O4+$B$2*Q4)*$AI$1</f>
        <v>9.1200000000000003E-2</v>
      </c>
      <c r="AI4" s="9">
        <f>($B$1*P4+$B$2*R4)*$AI$1</f>
        <v>9.6000000000000002E-2</v>
      </c>
      <c r="AJ4" s="1">
        <v>18</v>
      </c>
      <c r="AK4" s="9">
        <f>U4*$AL$1</f>
        <v>1.1200000000000001</v>
      </c>
      <c r="AL4" s="9">
        <f>V4*$AL$1</f>
        <v>0.97</v>
      </c>
      <c r="AM4" s="14"/>
      <c r="AO4" s="15"/>
      <c r="AP4" s="16"/>
    </row>
    <row r="5" spans="1:42" ht="15" x14ac:dyDescent="0.25">
      <c r="B5" s="1">
        <v>19</v>
      </c>
      <c r="C5" s="9">
        <v>0.77</v>
      </c>
      <c r="D5" s="9">
        <v>0.49</v>
      </c>
      <c r="E5" s="9">
        <v>0.71</v>
      </c>
      <c r="F5" s="9">
        <v>0.6</v>
      </c>
      <c r="G5" s="10">
        <v>0.12</v>
      </c>
      <c r="H5" s="11">
        <v>7.0000000000000007E-2</v>
      </c>
      <c r="I5" s="11">
        <v>0.24</v>
      </c>
      <c r="J5" s="12">
        <v>0.2</v>
      </c>
      <c r="K5" s="10">
        <v>0.31</v>
      </c>
      <c r="L5" s="11">
        <v>0.14000000000000001</v>
      </c>
      <c r="M5" s="13">
        <v>2</v>
      </c>
      <c r="N5" s="12">
        <v>0.51</v>
      </c>
      <c r="O5" s="10">
        <v>0.1</v>
      </c>
      <c r="P5" s="11">
        <v>0.11</v>
      </c>
      <c r="Q5" s="11">
        <v>0.15</v>
      </c>
      <c r="R5" s="12">
        <v>0.15</v>
      </c>
      <c r="S5" s="10"/>
      <c r="T5" s="11"/>
      <c r="U5" s="11">
        <v>1.1499999999999999</v>
      </c>
      <c r="V5" s="12">
        <v>0.98</v>
      </c>
      <c r="X5" s="1">
        <v>19</v>
      </c>
      <c r="Y5" s="9">
        <f t="shared" ref="Y5:Z63" si="0">(C5*$B$1+E5*$B$2)*$Z$1</f>
        <v>0.746</v>
      </c>
      <c r="Z5" s="9">
        <f t="shared" si="0"/>
        <v>0.53400000000000003</v>
      </c>
      <c r="AA5" s="1">
        <v>19</v>
      </c>
      <c r="AB5" s="9">
        <f t="shared" ref="AB5:AC63" si="1">($B$1*G5+$B$2*I5)*$AC$1</f>
        <v>0.16799999999999998</v>
      </c>
      <c r="AC5" s="9">
        <f t="shared" si="1"/>
        <v>0.12200000000000003</v>
      </c>
      <c r="AD5" s="1">
        <v>19</v>
      </c>
      <c r="AE5" s="9">
        <f t="shared" ref="AE5:AF63" si="2">IF(K5="",($B$1+$B$2)*$N$14,($B$1*K5+$B$2*$N$14)*$AF$1)</f>
        <v>0.39240000000000003</v>
      </c>
      <c r="AF5" s="9">
        <f t="shared" si="2"/>
        <v>0.29040000000000005</v>
      </c>
      <c r="AG5" s="1">
        <v>19</v>
      </c>
      <c r="AH5" s="9">
        <f t="shared" ref="AH5:AI63" si="3">($B$1*O5+$B$2*Q5)*$AI$1</f>
        <v>9.6000000000000002E-2</v>
      </c>
      <c r="AI5" s="9">
        <f t="shared" si="3"/>
        <v>0.1008</v>
      </c>
      <c r="AJ5" s="1">
        <v>19</v>
      </c>
      <c r="AK5" s="9">
        <f t="shared" ref="AK5:AL63" si="4">U5*$AL$1</f>
        <v>1.1499999999999999</v>
      </c>
      <c r="AL5" s="9">
        <f t="shared" si="4"/>
        <v>0.98</v>
      </c>
      <c r="AM5" s="14"/>
    </row>
    <row r="6" spans="1:42" ht="15" x14ac:dyDescent="0.25">
      <c r="B6" s="1">
        <v>20</v>
      </c>
      <c r="C6" s="9">
        <v>0.79</v>
      </c>
      <c r="D6" s="9">
        <v>0.52</v>
      </c>
      <c r="E6" s="9">
        <v>0.73</v>
      </c>
      <c r="F6" s="9">
        <v>0.62</v>
      </c>
      <c r="G6" s="10">
        <v>0.12</v>
      </c>
      <c r="H6" s="11">
        <v>0.08</v>
      </c>
      <c r="I6" s="11">
        <v>0.25</v>
      </c>
      <c r="J6" s="12">
        <v>0.2</v>
      </c>
      <c r="K6" s="10">
        <v>0.32</v>
      </c>
      <c r="L6" s="11">
        <v>0.14000000000000001</v>
      </c>
      <c r="M6" s="13">
        <v>3</v>
      </c>
      <c r="N6" s="12">
        <v>0.82</v>
      </c>
      <c r="O6" s="10">
        <v>0.11</v>
      </c>
      <c r="P6" s="11">
        <v>0.12</v>
      </c>
      <c r="Q6" s="11">
        <v>0.17</v>
      </c>
      <c r="R6" s="12">
        <v>0.15</v>
      </c>
      <c r="S6" s="10"/>
      <c r="T6" s="11"/>
      <c r="U6" s="11">
        <v>1.19</v>
      </c>
      <c r="V6" s="12">
        <v>1</v>
      </c>
      <c r="X6" s="1">
        <v>20</v>
      </c>
      <c r="Y6" s="9">
        <f t="shared" si="0"/>
        <v>0.76600000000000001</v>
      </c>
      <c r="Z6" s="9">
        <f t="shared" si="0"/>
        <v>0.56000000000000005</v>
      </c>
      <c r="AA6" s="1">
        <v>20</v>
      </c>
      <c r="AB6" s="9">
        <f t="shared" si="1"/>
        <v>0.17199999999999999</v>
      </c>
      <c r="AC6" s="9">
        <f t="shared" si="1"/>
        <v>0.128</v>
      </c>
      <c r="AD6" s="1">
        <v>20</v>
      </c>
      <c r="AE6" s="9">
        <f t="shared" si="2"/>
        <v>0.39840000000000003</v>
      </c>
      <c r="AF6" s="9">
        <f t="shared" si="2"/>
        <v>0.29040000000000005</v>
      </c>
      <c r="AG6" s="1">
        <v>20</v>
      </c>
      <c r="AH6" s="9">
        <f t="shared" si="3"/>
        <v>0.10720000000000002</v>
      </c>
      <c r="AI6" s="9">
        <f t="shared" si="3"/>
        <v>0.10560000000000001</v>
      </c>
      <c r="AJ6" s="1">
        <v>20</v>
      </c>
      <c r="AK6" s="9">
        <f t="shared" si="4"/>
        <v>1.19</v>
      </c>
      <c r="AL6" s="9">
        <f t="shared" si="4"/>
        <v>1</v>
      </c>
      <c r="AM6" s="14"/>
    </row>
    <row r="7" spans="1:42" ht="15" x14ac:dyDescent="0.25">
      <c r="B7" s="1">
        <v>21</v>
      </c>
      <c r="C7" s="9">
        <v>0.8</v>
      </c>
      <c r="D7" s="9">
        <v>0.53</v>
      </c>
      <c r="E7" s="9">
        <v>0.75</v>
      </c>
      <c r="F7" s="9">
        <v>0.63</v>
      </c>
      <c r="G7" s="10">
        <v>0.12</v>
      </c>
      <c r="H7" s="11">
        <v>0.08</v>
      </c>
      <c r="I7" s="11">
        <v>0.25</v>
      </c>
      <c r="J7" s="12">
        <v>0.2</v>
      </c>
      <c r="K7" s="10">
        <v>0.32</v>
      </c>
      <c r="L7" s="11">
        <v>0.14000000000000001</v>
      </c>
      <c r="M7" s="13">
        <v>4</v>
      </c>
      <c r="N7" s="12">
        <v>1.22</v>
      </c>
      <c r="O7" s="10">
        <v>0.12</v>
      </c>
      <c r="P7" s="11">
        <v>0.13</v>
      </c>
      <c r="Q7" s="11">
        <v>0.18</v>
      </c>
      <c r="R7" s="12">
        <v>0.15</v>
      </c>
      <c r="S7" s="10"/>
      <c r="T7" s="11"/>
      <c r="U7" s="11">
        <v>1.26</v>
      </c>
      <c r="V7" s="12">
        <v>1.05</v>
      </c>
      <c r="X7" s="1">
        <v>21</v>
      </c>
      <c r="Y7" s="9">
        <f t="shared" si="0"/>
        <v>0.78</v>
      </c>
      <c r="Z7" s="9">
        <f t="shared" si="0"/>
        <v>0.57000000000000006</v>
      </c>
      <c r="AA7" s="1">
        <v>21</v>
      </c>
      <c r="AB7" s="9">
        <f t="shared" si="1"/>
        <v>0.17199999999999999</v>
      </c>
      <c r="AC7" s="9">
        <f t="shared" si="1"/>
        <v>0.128</v>
      </c>
      <c r="AD7" s="1">
        <v>21</v>
      </c>
      <c r="AE7" s="9">
        <f t="shared" si="2"/>
        <v>0.39840000000000003</v>
      </c>
      <c r="AF7" s="9">
        <f t="shared" si="2"/>
        <v>0.29040000000000005</v>
      </c>
      <c r="AG7" s="1">
        <v>21</v>
      </c>
      <c r="AH7" s="9">
        <f t="shared" si="3"/>
        <v>0.1152</v>
      </c>
      <c r="AI7" s="9">
        <f t="shared" si="3"/>
        <v>0.11040000000000001</v>
      </c>
      <c r="AJ7" s="1">
        <v>21</v>
      </c>
      <c r="AK7" s="9">
        <f t="shared" si="4"/>
        <v>1.26</v>
      </c>
      <c r="AL7" s="9">
        <f t="shared" si="4"/>
        <v>1.05</v>
      </c>
      <c r="AM7" s="14"/>
    </row>
    <row r="8" spans="1:42" ht="15" x14ac:dyDescent="0.25">
      <c r="B8" s="1">
        <v>22</v>
      </c>
      <c r="C8" s="9">
        <v>0.8</v>
      </c>
      <c r="D8" s="9">
        <v>0.55000000000000004</v>
      </c>
      <c r="E8" s="9">
        <v>0.77</v>
      </c>
      <c r="F8" s="9">
        <v>0.65</v>
      </c>
      <c r="G8" s="10">
        <v>0.12</v>
      </c>
      <c r="H8" s="11">
        <v>0.08</v>
      </c>
      <c r="I8" s="11">
        <v>0.25</v>
      </c>
      <c r="J8" s="12">
        <v>0.2</v>
      </c>
      <c r="K8" s="10">
        <v>0.32</v>
      </c>
      <c r="L8" s="11">
        <v>0.14000000000000001</v>
      </c>
      <c r="M8" s="11"/>
      <c r="N8" s="12"/>
      <c r="O8" s="10">
        <v>0.13</v>
      </c>
      <c r="P8" s="11">
        <v>0.14000000000000001</v>
      </c>
      <c r="Q8" s="11">
        <v>0.2</v>
      </c>
      <c r="R8" s="12">
        <v>0.17</v>
      </c>
      <c r="S8" s="10"/>
      <c r="T8" s="11"/>
      <c r="U8" s="11">
        <v>1.33</v>
      </c>
      <c r="V8" s="12">
        <v>1.1200000000000001</v>
      </c>
      <c r="X8" s="1">
        <v>22</v>
      </c>
      <c r="Y8" s="9">
        <f t="shared" si="0"/>
        <v>0.78800000000000003</v>
      </c>
      <c r="Z8" s="9">
        <f t="shared" si="0"/>
        <v>0.59000000000000008</v>
      </c>
      <c r="AA8" s="1">
        <v>22</v>
      </c>
      <c r="AB8" s="9">
        <f t="shared" si="1"/>
        <v>0.17199999999999999</v>
      </c>
      <c r="AC8" s="9">
        <f t="shared" si="1"/>
        <v>0.128</v>
      </c>
      <c r="AD8" s="1">
        <v>22</v>
      </c>
      <c r="AE8" s="9">
        <f t="shared" si="2"/>
        <v>0.39840000000000003</v>
      </c>
      <c r="AF8" s="9">
        <f t="shared" si="2"/>
        <v>0.29040000000000005</v>
      </c>
      <c r="AG8" s="1">
        <v>22</v>
      </c>
      <c r="AH8" s="9">
        <f t="shared" si="3"/>
        <v>0.12640000000000004</v>
      </c>
      <c r="AI8" s="9">
        <f t="shared" si="3"/>
        <v>0.12160000000000003</v>
      </c>
      <c r="AJ8" s="1">
        <v>22</v>
      </c>
      <c r="AK8" s="9">
        <f t="shared" si="4"/>
        <v>1.33</v>
      </c>
      <c r="AL8" s="9">
        <f t="shared" si="4"/>
        <v>1.1200000000000001</v>
      </c>
      <c r="AM8" s="14"/>
    </row>
    <row r="9" spans="1:42" ht="15" x14ac:dyDescent="0.25">
      <c r="B9" s="1">
        <v>23</v>
      </c>
      <c r="C9" s="9">
        <v>0.79</v>
      </c>
      <c r="D9" s="9">
        <v>0.59</v>
      </c>
      <c r="E9" s="9">
        <v>0.83</v>
      </c>
      <c r="F9" s="9">
        <v>0.7</v>
      </c>
      <c r="G9" s="10">
        <v>0.12</v>
      </c>
      <c r="H9" s="11">
        <v>0.09</v>
      </c>
      <c r="I9" s="11">
        <v>0.24</v>
      </c>
      <c r="J9" s="12">
        <v>0.2</v>
      </c>
      <c r="K9" s="10">
        <v>0.31</v>
      </c>
      <c r="L9" s="11">
        <v>0.14000000000000001</v>
      </c>
      <c r="M9" s="13">
        <v>1</v>
      </c>
      <c r="N9" s="17">
        <v>0.45</v>
      </c>
      <c r="O9" s="10">
        <v>0.14000000000000001</v>
      </c>
      <c r="P9" s="11">
        <v>0.16</v>
      </c>
      <c r="Q9" s="11">
        <v>0.22</v>
      </c>
      <c r="R9" s="12">
        <v>0.19</v>
      </c>
      <c r="S9" s="10"/>
      <c r="T9" s="11"/>
      <c r="U9" s="11">
        <v>1.41</v>
      </c>
      <c r="V9" s="12">
        <v>1.17</v>
      </c>
      <c r="X9" s="1">
        <v>23</v>
      </c>
      <c r="Y9" s="9">
        <f t="shared" si="0"/>
        <v>0.80600000000000005</v>
      </c>
      <c r="Z9" s="9">
        <f t="shared" si="0"/>
        <v>0.6339999999999999</v>
      </c>
      <c r="AA9" s="1">
        <v>23</v>
      </c>
      <c r="AB9" s="9">
        <f t="shared" si="1"/>
        <v>0.16799999999999998</v>
      </c>
      <c r="AC9" s="9">
        <f t="shared" si="1"/>
        <v>0.13400000000000001</v>
      </c>
      <c r="AD9" s="1">
        <v>23</v>
      </c>
      <c r="AE9" s="9">
        <f t="shared" si="2"/>
        <v>0.39240000000000003</v>
      </c>
      <c r="AF9" s="9">
        <f t="shared" si="2"/>
        <v>0.29040000000000005</v>
      </c>
      <c r="AG9" s="1">
        <v>23</v>
      </c>
      <c r="AH9" s="9">
        <f t="shared" si="3"/>
        <v>0.13760000000000003</v>
      </c>
      <c r="AI9" s="9">
        <f t="shared" si="3"/>
        <v>0.13760000000000003</v>
      </c>
      <c r="AJ9" s="1">
        <v>23</v>
      </c>
      <c r="AK9" s="9">
        <f t="shared" si="4"/>
        <v>1.41</v>
      </c>
      <c r="AL9" s="9">
        <f t="shared" si="4"/>
        <v>1.17</v>
      </c>
      <c r="AM9" s="14"/>
    </row>
    <row r="10" spans="1:42" ht="15" x14ac:dyDescent="0.25">
      <c r="B10" s="1">
        <v>24</v>
      </c>
      <c r="C10" s="9">
        <v>0.82</v>
      </c>
      <c r="D10" s="9">
        <v>0.62</v>
      </c>
      <c r="E10" s="9">
        <v>0.89</v>
      </c>
      <c r="F10" s="9">
        <v>0.75</v>
      </c>
      <c r="G10" s="10">
        <v>0.12</v>
      </c>
      <c r="H10" s="11">
        <v>0.09</v>
      </c>
      <c r="I10" s="11">
        <v>0.24</v>
      </c>
      <c r="J10" s="12">
        <v>0.2</v>
      </c>
      <c r="K10" s="10">
        <v>0.31</v>
      </c>
      <c r="L10" s="11">
        <v>0.14000000000000001</v>
      </c>
      <c r="M10" s="13">
        <v>2</v>
      </c>
      <c r="N10" s="17">
        <v>0.45</v>
      </c>
      <c r="O10" s="10">
        <v>0.15</v>
      </c>
      <c r="P10" s="11">
        <v>0.17</v>
      </c>
      <c r="Q10" s="11">
        <v>0.25</v>
      </c>
      <c r="R10" s="12">
        <v>0.21</v>
      </c>
      <c r="S10" s="10"/>
      <c r="T10" s="11"/>
      <c r="U10" s="11">
        <v>1.5</v>
      </c>
      <c r="V10" s="12">
        <v>1.22</v>
      </c>
      <c r="X10" s="1">
        <v>24</v>
      </c>
      <c r="Y10" s="9">
        <f t="shared" si="0"/>
        <v>0.84799999999999998</v>
      </c>
      <c r="Z10" s="9">
        <f t="shared" si="0"/>
        <v>0.67200000000000004</v>
      </c>
      <c r="AA10" s="1">
        <v>24</v>
      </c>
      <c r="AB10" s="9">
        <f t="shared" si="1"/>
        <v>0.16799999999999998</v>
      </c>
      <c r="AC10" s="9">
        <f t="shared" si="1"/>
        <v>0.13400000000000001</v>
      </c>
      <c r="AD10" s="1">
        <v>24</v>
      </c>
      <c r="AE10" s="9">
        <f t="shared" si="2"/>
        <v>0.39240000000000003</v>
      </c>
      <c r="AF10" s="9">
        <f t="shared" si="2"/>
        <v>0.29040000000000005</v>
      </c>
      <c r="AG10" s="1">
        <v>24</v>
      </c>
      <c r="AH10" s="9">
        <f t="shared" si="3"/>
        <v>0.15200000000000002</v>
      </c>
      <c r="AI10" s="9">
        <f t="shared" si="3"/>
        <v>0.14880000000000002</v>
      </c>
      <c r="AJ10" s="1">
        <v>24</v>
      </c>
      <c r="AK10" s="9">
        <f t="shared" si="4"/>
        <v>1.5</v>
      </c>
      <c r="AL10" s="9">
        <f t="shared" si="4"/>
        <v>1.22</v>
      </c>
      <c r="AM10" s="14"/>
    </row>
    <row r="11" spans="1:42" ht="15" x14ac:dyDescent="0.25">
      <c r="B11" s="1">
        <v>25</v>
      </c>
      <c r="C11" s="9">
        <v>0.83</v>
      </c>
      <c r="D11" s="9">
        <v>0.62</v>
      </c>
      <c r="E11" s="9">
        <v>0.95</v>
      </c>
      <c r="F11" s="9">
        <v>0.78</v>
      </c>
      <c r="G11" s="10">
        <v>0.12</v>
      </c>
      <c r="H11" s="11">
        <v>0.09</v>
      </c>
      <c r="I11" s="11">
        <v>0.24</v>
      </c>
      <c r="J11" s="12">
        <v>0.2</v>
      </c>
      <c r="K11" s="10">
        <v>0.31</v>
      </c>
      <c r="L11" s="11">
        <v>0.14000000000000001</v>
      </c>
      <c r="M11" s="13">
        <v>3</v>
      </c>
      <c r="N11" s="17">
        <v>0.05</v>
      </c>
      <c r="O11" s="10">
        <v>0.16</v>
      </c>
      <c r="P11" s="11">
        <v>0.19</v>
      </c>
      <c r="Q11" s="11">
        <v>0.27</v>
      </c>
      <c r="R11" s="12">
        <v>0.23</v>
      </c>
      <c r="S11" s="10"/>
      <c r="T11" s="11"/>
      <c r="U11" s="11">
        <v>1.58</v>
      </c>
      <c r="V11" s="12">
        <v>1.27</v>
      </c>
      <c r="X11" s="1">
        <v>25</v>
      </c>
      <c r="Y11" s="9">
        <f t="shared" si="0"/>
        <v>0.87799999999999989</v>
      </c>
      <c r="Z11" s="9">
        <f t="shared" si="0"/>
        <v>0.68400000000000005</v>
      </c>
      <c r="AA11" s="1">
        <v>25</v>
      </c>
      <c r="AB11" s="9">
        <f t="shared" si="1"/>
        <v>0.16799999999999998</v>
      </c>
      <c r="AC11" s="9">
        <f t="shared" si="1"/>
        <v>0.13400000000000001</v>
      </c>
      <c r="AD11" s="1">
        <v>25</v>
      </c>
      <c r="AE11" s="9">
        <f t="shared" si="2"/>
        <v>0.39240000000000003</v>
      </c>
      <c r="AF11" s="9">
        <f t="shared" si="2"/>
        <v>0.29040000000000005</v>
      </c>
      <c r="AG11" s="1">
        <v>25</v>
      </c>
      <c r="AH11" s="9">
        <f t="shared" si="3"/>
        <v>0.16320000000000001</v>
      </c>
      <c r="AI11" s="9">
        <f t="shared" si="3"/>
        <v>0.16480000000000003</v>
      </c>
      <c r="AJ11" s="1">
        <v>25</v>
      </c>
      <c r="AK11" s="9">
        <f t="shared" si="4"/>
        <v>1.58</v>
      </c>
      <c r="AL11" s="9">
        <f t="shared" si="4"/>
        <v>1.27</v>
      </c>
      <c r="AM11" s="14"/>
    </row>
    <row r="12" spans="1:42" ht="15" x14ac:dyDescent="0.25">
      <c r="B12" s="1">
        <v>26</v>
      </c>
      <c r="C12" s="9">
        <v>0.84</v>
      </c>
      <c r="D12" s="9">
        <v>0.64</v>
      </c>
      <c r="E12" s="9">
        <v>1.01</v>
      </c>
      <c r="F12" s="9">
        <v>0.81</v>
      </c>
      <c r="G12" s="10">
        <v>0.13</v>
      </c>
      <c r="H12" s="11">
        <v>0.1</v>
      </c>
      <c r="I12" s="11">
        <v>0.24</v>
      </c>
      <c r="J12" s="12">
        <v>0.2</v>
      </c>
      <c r="K12" s="10">
        <v>0.3</v>
      </c>
      <c r="L12" s="11">
        <v>0.14000000000000001</v>
      </c>
      <c r="M12" s="13">
        <v>4</v>
      </c>
      <c r="N12" s="17">
        <v>0.05</v>
      </c>
      <c r="O12" s="10">
        <v>0.18</v>
      </c>
      <c r="P12" s="11">
        <v>0.21</v>
      </c>
      <c r="Q12" s="11">
        <v>0.28999999999999998</v>
      </c>
      <c r="R12" s="12">
        <v>0.28000000000000003</v>
      </c>
      <c r="S12" s="10"/>
      <c r="T12" s="11"/>
      <c r="U12" s="11">
        <v>1.63</v>
      </c>
      <c r="V12" s="12">
        <v>1.32</v>
      </c>
      <c r="X12" s="1">
        <v>26</v>
      </c>
      <c r="Y12" s="9">
        <f t="shared" si="0"/>
        <v>0.90800000000000003</v>
      </c>
      <c r="Z12" s="9">
        <f t="shared" si="0"/>
        <v>0.70800000000000007</v>
      </c>
      <c r="AA12" s="1">
        <v>26</v>
      </c>
      <c r="AB12" s="9">
        <f t="shared" si="1"/>
        <v>0.17399999999999999</v>
      </c>
      <c r="AC12" s="9">
        <f t="shared" si="1"/>
        <v>0.14000000000000001</v>
      </c>
      <c r="AD12" s="1">
        <v>26</v>
      </c>
      <c r="AE12" s="9">
        <f t="shared" si="2"/>
        <v>0.38640000000000002</v>
      </c>
      <c r="AF12" s="9">
        <f t="shared" si="2"/>
        <v>0.29040000000000005</v>
      </c>
      <c r="AG12" s="1">
        <v>26</v>
      </c>
      <c r="AH12" s="9">
        <f t="shared" si="3"/>
        <v>0.1792</v>
      </c>
      <c r="AI12" s="9">
        <f t="shared" si="3"/>
        <v>0.19040000000000001</v>
      </c>
      <c r="AJ12" s="1">
        <v>26</v>
      </c>
      <c r="AK12" s="9">
        <f t="shared" si="4"/>
        <v>1.63</v>
      </c>
      <c r="AL12" s="9">
        <f t="shared" si="4"/>
        <v>1.32</v>
      </c>
      <c r="AM12" s="14"/>
    </row>
    <row r="13" spans="1:42" ht="15" x14ac:dyDescent="0.25">
      <c r="B13" s="1">
        <v>27</v>
      </c>
      <c r="C13" s="9">
        <v>0.86</v>
      </c>
      <c r="D13" s="9">
        <v>0.65</v>
      </c>
      <c r="E13" s="9">
        <v>1.07</v>
      </c>
      <c r="F13" s="9">
        <v>0.84</v>
      </c>
      <c r="G13" s="10">
        <v>0.13</v>
      </c>
      <c r="H13" s="11">
        <v>0.1</v>
      </c>
      <c r="I13" s="11">
        <v>0.24</v>
      </c>
      <c r="J13" s="12">
        <v>0.2</v>
      </c>
      <c r="K13" s="10">
        <v>0.3</v>
      </c>
      <c r="L13" s="11">
        <v>0.14000000000000001</v>
      </c>
      <c r="M13" s="11"/>
      <c r="N13" s="12"/>
      <c r="O13" s="10">
        <v>0.19</v>
      </c>
      <c r="P13" s="11">
        <v>0.23</v>
      </c>
      <c r="Q13" s="11">
        <v>0.32</v>
      </c>
      <c r="R13" s="12">
        <v>0.32</v>
      </c>
      <c r="S13" s="10"/>
      <c r="T13" s="11"/>
      <c r="U13" s="11">
        <v>1.7</v>
      </c>
      <c r="V13" s="12">
        <v>1.37</v>
      </c>
      <c r="X13" s="1">
        <v>27</v>
      </c>
      <c r="Y13" s="9">
        <f t="shared" si="0"/>
        <v>0.94400000000000006</v>
      </c>
      <c r="Z13" s="9">
        <f t="shared" si="0"/>
        <v>0.72599999999999998</v>
      </c>
      <c r="AA13" s="1">
        <v>27</v>
      </c>
      <c r="AB13" s="9">
        <f t="shared" si="1"/>
        <v>0.17399999999999999</v>
      </c>
      <c r="AC13" s="9">
        <f t="shared" si="1"/>
        <v>0.14000000000000001</v>
      </c>
      <c r="AD13" s="1">
        <v>27</v>
      </c>
      <c r="AE13" s="9">
        <f t="shared" si="2"/>
        <v>0.38640000000000002</v>
      </c>
      <c r="AF13" s="9">
        <f t="shared" si="2"/>
        <v>0.29040000000000005</v>
      </c>
      <c r="AG13" s="1">
        <v>27</v>
      </c>
      <c r="AH13" s="9">
        <f t="shared" si="3"/>
        <v>0.19359999999999999</v>
      </c>
      <c r="AI13" s="9">
        <f t="shared" si="3"/>
        <v>0.21280000000000002</v>
      </c>
      <c r="AJ13" s="1">
        <v>27</v>
      </c>
      <c r="AK13" s="9">
        <f t="shared" si="4"/>
        <v>1.7</v>
      </c>
      <c r="AL13" s="9">
        <f t="shared" si="4"/>
        <v>1.37</v>
      </c>
      <c r="AM13" s="14"/>
    </row>
    <row r="14" spans="1:42" ht="15" x14ac:dyDescent="0.25">
      <c r="B14" s="1">
        <v>28</v>
      </c>
      <c r="C14" s="9">
        <v>0.9</v>
      </c>
      <c r="D14" s="9">
        <v>0.67</v>
      </c>
      <c r="E14" s="9">
        <v>1.1000000000000001</v>
      </c>
      <c r="F14" s="9">
        <v>0.84</v>
      </c>
      <c r="G14" s="10">
        <v>0.14000000000000001</v>
      </c>
      <c r="H14" s="11">
        <v>0.1</v>
      </c>
      <c r="I14" s="11">
        <v>0.24</v>
      </c>
      <c r="J14" s="12">
        <v>0.2</v>
      </c>
      <c r="K14" s="10">
        <v>0.3</v>
      </c>
      <c r="L14" s="11">
        <v>0.14000000000000001</v>
      </c>
      <c r="M14" s="18" t="s">
        <v>11</v>
      </c>
      <c r="N14" s="12">
        <f>SUMPRODUCT(N4:N7,N9:N12)</f>
        <v>0.51600000000000001</v>
      </c>
      <c r="O14" s="10">
        <v>0.22</v>
      </c>
      <c r="P14" s="11">
        <v>0.25</v>
      </c>
      <c r="Q14" s="11">
        <v>0.35</v>
      </c>
      <c r="R14" s="12">
        <v>0.36</v>
      </c>
      <c r="S14" s="10"/>
      <c r="T14" s="11"/>
      <c r="U14" s="11">
        <v>1.8</v>
      </c>
      <c r="V14" s="12">
        <v>1.47</v>
      </c>
      <c r="X14" s="1">
        <v>28</v>
      </c>
      <c r="Y14" s="9">
        <f t="shared" si="0"/>
        <v>0.98000000000000009</v>
      </c>
      <c r="Z14" s="9">
        <f t="shared" si="0"/>
        <v>0.73799999999999999</v>
      </c>
      <c r="AA14" s="1">
        <v>28</v>
      </c>
      <c r="AB14" s="9">
        <f t="shared" si="1"/>
        <v>0.18</v>
      </c>
      <c r="AC14" s="9">
        <f t="shared" si="1"/>
        <v>0.14000000000000001</v>
      </c>
      <c r="AD14" s="1">
        <v>28</v>
      </c>
      <c r="AE14" s="9">
        <f t="shared" si="2"/>
        <v>0.38640000000000002</v>
      </c>
      <c r="AF14" s="9">
        <f t="shared" si="2"/>
        <v>0.29040000000000005</v>
      </c>
      <c r="AG14" s="1">
        <v>28</v>
      </c>
      <c r="AH14" s="9">
        <f t="shared" si="3"/>
        <v>0.21760000000000002</v>
      </c>
      <c r="AI14" s="9">
        <f t="shared" si="3"/>
        <v>0.23519999999999999</v>
      </c>
      <c r="AJ14" s="1">
        <v>28</v>
      </c>
      <c r="AK14" s="9">
        <f t="shared" si="4"/>
        <v>1.8</v>
      </c>
      <c r="AL14" s="9">
        <f t="shared" si="4"/>
        <v>1.47</v>
      </c>
      <c r="AM14" s="14"/>
    </row>
    <row r="15" spans="1:42" ht="15" x14ac:dyDescent="0.25">
      <c r="B15" s="1">
        <v>29</v>
      </c>
      <c r="C15" s="9">
        <v>0.9</v>
      </c>
      <c r="D15" s="9">
        <v>0.68</v>
      </c>
      <c r="E15" s="9">
        <v>1.1399999999999999</v>
      </c>
      <c r="F15" s="9">
        <v>0.85</v>
      </c>
      <c r="G15" s="10">
        <v>0.14000000000000001</v>
      </c>
      <c r="H15" s="11">
        <v>0.1</v>
      </c>
      <c r="I15" s="11">
        <v>0.24</v>
      </c>
      <c r="J15" s="12">
        <v>0.2</v>
      </c>
      <c r="K15" s="10">
        <v>0.3</v>
      </c>
      <c r="L15" s="11">
        <v>0.14000000000000001</v>
      </c>
      <c r="M15" s="11"/>
      <c r="N15" s="12"/>
      <c r="O15" s="10">
        <v>0.25</v>
      </c>
      <c r="P15" s="11">
        <v>0.28000000000000003</v>
      </c>
      <c r="Q15" s="11">
        <v>0.38</v>
      </c>
      <c r="R15" s="12">
        <v>0.39</v>
      </c>
      <c r="S15" s="10"/>
      <c r="T15" s="11"/>
      <c r="U15" s="11">
        <v>1.89</v>
      </c>
      <c r="V15" s="12">
        <v>1.56</v>
      </c>
      <c r="X15" s="1">
        <v>29</v>
      </c>
      <c r="Y15" s="9">
        <f t="shared" si="0"/>
        <v>0.996</v>
      </c>
      <c r="Z15" s="9">
        <f t="shared" si="0"/>
        <v>0.748</v>
      </c>
      <c r="AA15" s="1">
        <v>29</v>
      </c>
      <c r="AB15" s="9">
        <f t="shared" si="1"/>
        <v>0.18</v>
      </c>
      <c r="AC15" s="9">
        <f t="shared" si="1"/>
        <v>0.14000000000000001</v>
      </c>
      <c r="AD15" s="1">
        <v>29</v>
      </c>
      <c r="AE15" s="9">
        <f t="shared" si="2"/>
        <v>0.38640000000000002</v>
      </c>
      <c r="AF15" s="9">
        <f t="shared" si="2"/>
        <v>0.29040000000000005</v>
      </c>
      <c r="AG15" s="1">
        <v>29</v>
      </c>
      <c r="AH15" s="9">
        <f t="shared" si="3"/>
        <v>0.24160000000000004</v>
      </c>
      <c r="AI15" s="9">
        <f t="shared" si="3"/>
        <v>0.25920000000000004</v>
      </c>
      <c r="AJ15" s="1">
        <v>29</v>
      </c>
      <c r="AK15" s="9">
        <f t="shared" si="4"/>
        <v>1.89</v>
      </c>
      <c r="AL15" s="9">
        <f t="shared" si="4"/>
        <v>1.56</v>
      </c>
      <c r="AM15" s="14"/>
    </row>
    <row r="16" spans="1:42" ht="15" x14ac:dyDescent="0.25">
      <c r="B16" s="1">
        <v>30</v>
      </c>
      <c r="C16" s="9">
        <v>0.92</v>
      </c>
      <c r="D16" s="9">
        <v>0.7</v>
      </c>
      <c r="E16" s="9">
        <v>1.21</v>
      </c>
      <c r="F16" s="9">
        <v>0.91</v>
      </c>
      <c r="G16" s="10">
        <v>0.14000000000000001</v>
      </c>
      <c r="H16" s="11">
        <v>0.1</v>
      </c>
      <c r="I16" s="11">
        <v>0.24</v>
      </c>
      <c r="J16" s="12">
        <v>0.2</v>
      </c>
      <c r="K16" s="10">
        <v>0.31</v>
      </c>
      <c r="L16" s="11">
        <v>0.14000000000000001</v>
      </c>
      <c r="M16" s="11"/>
      <c r="N16" s="12"/>
      <c r="O16" s="10">
        <v>0.28000000000000003</v>
      </c>
      <c r="P16" s="11">
        <v>0.3</v>
      </c>
      <c r="Q16" s="11">
        <v>0.41</v>
      </c>
      <c r="R16" s="12">
        <v>0.42</v>
      </c>
      <c r="S16" s="10"/>
      <c r="T16" s="11"/>
      <c r="U16" s="11">
        <v>1.99</v>
      </c>
      <c r="V16" s="12">
        <v>1.65</v>
      </c>
      <c r="X16" s="1">
        <v>30</v>
      </c>
      <c r="Y16" s="9">
        <f t="shared" si="0"/>
        <v>1.036</v>
      </c>
      <c r="Z16" s="9">
        <f t="shared" si="0"/>
        <v>0.78400000000000003</v>
      </c>
      <c r="AA16" s="1">
        <v>30</v>
      </c>
      <c r="AB16" s="9">
        <f t="shared" si="1"/>
        <v>0.18</v>
      </c>
      <c r="AC16" s="9">
        <f t="shared" si="1"/>
        <v>0.14000000000000001</v>
      </c>
      <c r="AD16" s="1">
        <v>30</v>
      </c>
      <c r="AE16" s="9">
        <f t="shared" si="2"/>
        <v>0.39240000000000003</v>
      </c>
      <c r="AF16" s="9">
        <f t="shared" si="2"/>
        <v>0.29040000000000005</v>
      </c>
      <c r="AG16" s="1">
        <v>30</v>
      </c>
      <c r="AH16" s="9">
        <f t="shared" si="3"/>
        <v>0.2656</v>
      </c>
      <c r="AI16" s="9">
        <f t="shared" si="3"/>
        <v>0.27839999999999998</v>
      </c>
      <c r="AJ16" s="1">
        <v>30</v>
      </c>
      <c r="AK16" s="9">
        <f t="shared" si="4"/>
        <v>1.99</v>
      </c>
      <c r="AL16" s="9">
        <f t="shared" si="4"/>
        <v>1.65</v>
      </c>
      <c r="AM16" s="14"/>
    </row>
    <row r="17" spans="2:39" ht="15" x14ac:dyDescent="0.25">
      <c r="B17" s="1">
        <v>31</v>
      </c>
      <c r="C17" s="9">
        <v>0.98</v>
      </c>
      <c r="D17" s="9">
        <v>0.72</v>
      </c>
      <c r="E17" s="9">
        <v>1.27</v>
      </c>
      <c r="F17" s="9">
        <v>0.97</v>
      </c>
      <c r="G17" s="10">
        <v>0.15</v>
      </c>
      <c r="H17" s="11">
        <v>0.11</v>
      </c>
      <c r="I17" s="11">
        <v>0.24</v>
      </c>
      <c r="J17" s="12">
        <v>0.2</v>
      </c>
      <c r="K17" s="10">
        <v>0.31</v>
      </c>
      <c r="L17" s="11">
        <v>0.16</v>
      </c>
      <c r="M17" s="11"/>
      <c r="N17" s="12"/>
      <c r="O17" s="10">
        <v>0.31</v>
      </c>
      <c r="P17" s="11">
        <v>0.33</v>
      </c>
      <c r="Q17" s="11">
        <v>0.45</v>
      </c>
      <c r="R17" s="12">
        <v>0.45</v>
      </c>
      <c r="S17" s="10"/>
      <c r="T17" s="11"/>
      <c r="U17" s="11">
        <v>2.09</v>
      </c>
      <c r="V17" s="12">
        <v>1.75</v>
      </c>
      <c r="X17" s="1">
        <v>31</v>
      </c>
      <c r="Y17" s="9">
        <f t="shared" si="0"/>
        <v>1.0960000000000001</v>
      </c>
      <c r="Z17" s="9">
        <f t="shared" si="0"/>
        <v>0.82000000000000006</v>
      </c>
      <c r="AA17" s="1">
        <v>31</v>
      </c>
      <c r="AB17" s="9">
        <f t="shared" si="1"/>
        <v>0.186</v>
      </c>
      <c r="AC17" s="9">
        <f t="shared" si="1"/>
        <v>0.14600000000000002</v>
      </c>
      <c r="AD17" s="1">
        <v>31</v>
      </c>
      <c r="AE17" s="9">
        <f t="shared" si="2"/>
        <v>0.39240000000000003</v>
      </c>
      <c r="AF17" s="9">
        <f t="shared" si="2"/>
        <v>0.3024</v>
      </c>
      <c r="AG17" s="1">
        <v>31</v>
      </c>
      <c r="AH17" s="9">
        <f t="shared" si="3"/>
        <v>0.2928</v>
      </c>
      <c r="AI17" s="9">
        <f t="shared" si="3"/>
        <v>0.3024</v>
      </c>
      <c r="AJ17" s="1">
        <v>31</v>
      </c>
      <c r="AK17" s="9">
        <f t="shared" si="4"/>
        <v>2.09</v>
      </c>
      <c r="AL17" s="9">
        <f t="shared" si="4"/>
        <v>1.75</v>
      </c>
      <c r="AM17" s="14"/>
    </row>
    <row r="18" spans="2:39" ht="15" x14ac:dyDescent="0.25">
      <c r="B18" s="1">
        <v>32</v>
      </c>
      <c r="C18" s="9">
        <v>1.06</v>
      </c>
      <c r="D18" s="9">
        <v>0.72</v>
      </c>
      <c r="E18" s="9">
        <v>1.34</v>
      </c>
      <c r="F18" s="9">
        <v>1.03</v>
      </c>
      <c r="G18" s="10">
        <v>0.16</v>
      </c>
      <c r="H18" s="11">
        <v>0.11</v>
      </c>
      <c r="I18" s="11">
        <v>0.24</v>
      </c>
      <c r="J18" s="12">
        <v>0.2</v>
      </c>
      <c r="K18" s="10">
        <v>0.31</v>
      </c>
      <c r="L18" s="11">
        <v>0.16</v>
      </c>
      <c r="M18" s="11"/>
      <c r="N18" s="12"/>
      <c r="O18" s="10">
        <v>0.35</v>
      </c>
      <c r="P18" s="11">
        <v>0.36</v>
      </c>
      <c r="Q18" s="11">
        <v>0.5</v>
      </c>
      <c r="R18" s="12">
        <v>0.48</v>
      </c>
      <c r="S18" s="10"/>
      <c r="T18" s="11"/>
      <c r="U18" s="11">
        <v>2.21</v>
      </c>
      <c r="V18" s="12">
        <v>1.84</v>
      </c>
      <c r="X18" s="1">
        <v>32</v>
      </c>
      <c r="Y18" s="9">
        <f t="shared" si="0"/>
        <v>1.1720000000000002</v>
      </c>
      <c r="Z18" s="9">
        <f t="shared" si="0"/>
        <v>0.84400000000000008</v>
      </c>
      <c r="AA18" s="1">
        <v>32</v>
      </c>
      <c r="AB18" s="9">
        <f t="shared" si="1"/>
        <v>0.192</v>
      </c>
      <c r="AC18" s="9">
        <f t="shared" si="1"/>
        <v>0.14600000000000002</v>
      </c>
      <c r="AD18" s="1">
        <v>32</v>
      </c>
      <c r="AE18" s="9">
        <f t="shared" si="2"/>
        <v>0.39240000000000003</v>
      </c>
      <c r="AF18" s="9">
        <f t="shared" si="2"/>
        <v>0.3024</v>
      </c>
      <c r="AG18" s="1">
        <v>32</v>
      </c>
      <c r="AH18" s="9">
        <f t="shared" si="3"/>
        <v>0.32800000000000007</v>
      </c>
      <c r="AI18" s="9">
        <f t="shared" si="3"/>
        <v>0.32640000000000002</v>
      </c>
      <c r="AJ18" s="1">
        <v>32</v>
      </c>
      <c r="AK18" s="9">
        <f t="shared" si="4"/>
        <v>2.21</v>
      </c>
      <c r="AL18" s="9">
        <f t="shared" si="4"/>
        <v>1.84</v>
      </c>
      <c r="AM18" s="14"/>
    </row>
    <row r="19" spans="2:39" ht="15" x14ac:dyDescent="0.25">
      <c r="B19" s="1">
        <v>33</v>
      </c>
      <c r="C19" s="9">
        <v>1.1299999999999999</v>
      </c>
      <c r="D19" s="9">
        <v>0.74</v>
      </c>
      <c r="E19" s="9">
        <v>1.4</v>
      </c>
      <c r="F19" s="9">
        <v>1.1000000000000001</v>
      </c>
      <c r="G19" s="10">
        <v>0.17</v>
      </c>
      <c r="H19" s="11">
        <v>0.11</v>
      </c>
      <c r="I19" s="11">
        <v>0.24</v>
      </c>
      <c r="J19" s="12">
        <v>0.2</v>
      </c>
      <c r="K19" s="10">
        <v>0.32</v>
      </c>
      <c r="L19" s="11">
        <v>0.16</v>
      </c>
      <c r="M19" s="11"/>
      <c r="N19" s="12"/>
      <c r="O19" s="10">
        <v>0.39</v>
      </c>
      <c r="P19" s="11">
        <v>0.39</v>
      </c>
      <c r="Q19" s="11">
        <v>0.55000000000000004</v>
      </c>
      <c r="R19" s="12">
        <v>0.51</v>
      </c>
      <c r="S19" s="10"/>
      <c r="T19" s="11"/>
      <c r="U19" s="11">
        <v>2.4</v>
      </c>
      <c r="V19" s="12">
        <v>1.96</v>
      </c>
      <c r="X19" s="1">
        <v>33</v>
      </c>
      <c r="Y19" s="9">
        <f t="shared" si="0"/>
        <v>1.238</v>
      </c>
      <c r="Z19" s="9">
        <f t="shared" si="0"/>
        <v>0.88400000000000012</v>
      </c>
      <c r="AA19" s="1">
        <v>33</v>
      </c>
      <c r="AB19" s="9">
        <f t="shared" si="1"/>
        <v>0.19800000000000001</v>
      </c>
      <c r="AC19" s="9">
        <f t="shared" si="1"/>
        <v>0.14600000000000002</v>
      </c>
      <c r="AD19" s="1">
        <v>33</v>
      </c>
      <c r="AE19" s="9">
        <f t="shared" si="2"/>
        <v>0.39840000000000003</v>
      </c>
      <c r="AF19" s="9">
        <f t="shared" si="2"/>
        <v>0.3024</v>
      </c>
      <c r="AG19" s="1">
        <v>33</v>
      </c>
      <c r="AH19" s="9">
        <f t="shared" si="3"/>
        <v>0.36320000000000002</v>
      </c>
      <c r="AI19" s="9">
        <f t="shared" si="3"/>
        <v>0.35040000000000004</v>
      </c>
      <c r="AJ19" s="1">
        <v>33</v>
      </c>
      <c r="AK19" s="9">
        <f t="shared" si="4"/>
        <v>2.4</v>
      </c>
      <c r="AL19" s="9">
        <f t="shared" si="4"/>
        <v>1.96</v>
      </c>
      <c r="AM19" s="14"/>
    </row>
    <row r="20" spans="2:39" ht="15" x14ac:dyDescent="0.25">
      <c r="B20" s="1">
        <v>34</v>
      </c>
      <c r="C20" s="9">
        <v>1.18</v>
      </c>
      <c r="D20" s="9">
        <v>0.74</v>
      </c>
      <c r="E20" s="9">
        <v>1.47</v>
      </c>
      <c r="F20" s="9">
        <v>1.1599999999999999</v>
      </c>
      <c r="G20" s="10">
        <v>0.18</v>
      </c>
      <c r="H20" s="11">
        <v>0.11</v>
      </c>
      <c r="I20" s="11">
        <v>0.24</v>
      </c>
      <c r="J20" s="12">
        <v>0.2</v>
      </c>
      <c r="K20" s="10">
        <v>0.32</v>
      </c>
      <c r="L20" s="11">
        <v>0.16</v>
      </c>
      <c r="M20" s="11"/>
      <c r="N20" s="12"/>
      <c r="O20" s="10">
        <v>0.44</v>
      </c>
      <c r="P20" s="11">
        <v>0.42</v>
      </c>
      <c r="Q20" s="11">
        <v>0.6</v>
      </c>
      <c r="R20" s="12">
        <v>0.55000000000000004</v>
      </c>
      <c r="S20" s="10"/>
      <c r="T20" s="11"/>
      <c r="U20" s="11">
        <v>2.59</v>
      </c>
      <c r="V20" s="12">
        <v>2.09</v>
      </c>
      <c r="X20" s="1">
        <v>34</v>
      </c>
      <c r="Y20" s="9">
        <f t="shared" si="0"/>
        <v>1.2959999999999998</v>
      </c>
      <c r="Z20" s="9">
        <f t="shared" si="0"/>
        <v>0.90799999999999992</v>
      </c>
      <c r="AA20" s="1">
        <v>34</v>
      </c>
      <c r="AB20" s="9">
        <f t="shared" si="1"/>
        <v>0.20400000000000001</v>
      </c>
      <c r="AC20" s="9">
        <f t="shared" si="1"/>
        <v>0.14600000000000002</v>
      </c>
      <c r="AD20" s="1">
        <v>34</v>
      </c>
      <c r="AE20" s="9">
        <f t="shared" si="2"/>
        <v>0.39840000000000003</v>
      </c>
      <c r="AF20" s="9">
        <f t="shared" si="2"/>
        <v>0.3024</v>
      </c>
      <c r="AG20" s="1">
        <v>34</v>
      </c>
      <c r="AH20" s="9">
        <f t="shared" si="3"/>
        <v>0.4032</v>
      </c>
      <c r="AI20" s="9">
        <f t="shared" si="3"/>
        <v>0.37760000000000005</v>
      </c>
      <c r="AJ20" s="1">
        <v>34</v>
      </c>
      <c r="AK20" s="9">
        <f t="shared" si="4"/>
        <v>2.59</v>
      </c>
      <c r="AL20" s="9">
        <f t="shared" si="4"/>
        <v>2.09</v>
      </c>
      <c r="AM20" s="14"/>
    </row>
    <row r="21" spans="2:39" ht="15" x14ac:dyDescent="0.25">
      <c r="B21" s="1">
        <v>35</v>
      </c>
      <c r="C21" s="9">
        <v>1.26</v>
      </c>
      <c r="D21" s="9">
        <v>0.76</v>
      </c>
      <c r="E21" s="9">
        <v>1.61</v>
      </c>
      <c r="F21" s="9">
        <v>1.25</v>
      </c>
      <c r="G21" s="10">
        <v>0.19</v>
      </c>
      <c r="H21" s="11">
        <v>0.11</v>
      </c>
      <c r="I21" s="11">
        <v>0.24</v>
      </c>
      <c r="J21" s="12">
        <v>0.2</v>
      </c>
      <c r="K21" s="10">
        <v>0.34</v>
      </c>
      <c r="L21" s="11">
        <v>0.16</v>
      </c>
      <c r="M21" s="11"/>
      <c r="N21" s="12"/>
      <c r="O21" s="10">
        <v>0.5</v>
      </c>
      <c r="P21" s="11">
        <v>0.46</v>
      </c>
      <c r="Q21" s="11">
        <v>0.67</v>
      </c>
      <c r="R21" s="12">
        <v>0.6</v>
      </c>
      <c r="S21" s="10"/>
      <c r="T21" s="11"/>
      <c r="U21" s="11">
        <v>2.81</v>
      </c>
      <c r="V21" s="12">
        <v>2.23</v>
      </c>
      <c r="X21" s="1">
        <v>35</v>
      </c>
      <c r="Y21" s="9">
        <f t="shared" si="0"/>
        <v>1.4000000000000001</v>
      </c>
      <c r="Z21" s="9">
        <f t="shared" si="0"/>
        <v>0.95599999999999996</v>
      </c>
      <c r="AA21" s="1">
        <v>35</v>
      </c>
      <c r="AB21" s="9">
        <f t="shared" si="1"/>
        <v>0.21</v>
      </c>
      <c r="AC21" s="9">
        <f t="shared" si="1"/>
        <v>0.14600000000000002</v>
      </c>
      <c r="AD21" s="1">
        <v>35</v>
      </c>
      <c r="AE21" s="9">
        <f t="shared" si="2"/>
        <v>0.41040000000000004</v>
      </c>
      <c r="AF21" s="9">
        <f t="shared" si="2"/>
        <v>0.3024</v>
      </c>
      <c r="AG21" s="1">
        <v>35</v>
      </c>
      <c r="AH21" s="9">
        <f t="shared" si="3"/>
        <v>0.45440000000000008</v>
      </c>
      <c r="AI21" s="9">
        <f t="shared" si="3"/>
        <v>0.41280000000000006</v>
      </c>
      <c r="AJ21" s="1">
        <v>35</v>
      </c>
      <c r="AK21" s="9">
        <f t="shared" si="4"/>
        <v>2.81</v>
      </c>
      <c r="AL21" s="9">
        <f t="shared" si="4"/>
        <v>2.23</v>
      </c>
      <c r="AM21" s="14"/>
    </row>
    <row r="22" spans="2:39" ht="15" x14ac:dyDescent="0.25">
      <c r="B22" s="1">
        <v>36</v>
      </c>
      <c r="C22" s="9">
        <v>1.33</v>
      </c>
      <c r="D22" s="9">
        <v>0.79</v>
      </c>
      <c r="E22" s="9">
        <v>1.75</v>
      </c>
      <c r="F22" s="9">
        <v>1.34</v>
      </c>
      <c r="G22" s="10">
        <v>0.2</v>
      </c>
      <c r="H22" s="11">
        <v>0.12</v>
      </c>
      <c r="I22" s="11">
        <v>0.24</v>
      </c>
      <c r="J22" s="12">
        <v>0.2</v>
      </c>
      <c r="K22" s="10">
        <v>0.35</v>
      </c>
      <c r="L22" s="11">
        <v>0.16</v>
      </c>
      <c r="M22" s="11"/>
      <c r="N22" s="12"/>
      <c r="O22" s="10">
        <v>0.55000000000000004</v>
      </c>
      <c r="P22" s="11">
        <v>0.5</v>
      </c>
      <c r="Q22" s="11">
        <v>0.74</v>
      </c>
      <c r="R22" s="12">
        <v>0.69</v>
      </c>
      <c r="S22" s="10"/>
      <c r="T22" s="11"/>
      <c r="U22" s="11">
        <v>3.01</v>
      </c>
      <c r="V22" s="12">
        <v>2.4</v>
      </c>
      <c r="X22" s="1">
        <v>36</v>
      </c>
      <c r="Y22" s="9">
        <f t="shared" si="0"/>
        <v>1.4980000000000002</v>
      </c>
      <c r="Z22" s="9">
        <f t="shared" si="0"/>
        <v>1.01</v>
      </c>
      <c r="AA22" s="1">
        <v>36</v>
      </c>
      <c r="AB22" s="9">
        <f t="shared" si="1"/>
        <v>0.216</v>
      </c>
      <c r="AC22" s="9">
        <f t="shared" si="1"/>
        <v>0.15200000000000002</v>
      </c>
      <c r="AD22" s="1">
        <v>36</v>
      </c>
      <c r="AE22" s="9">
        <f t="shared" si="2"/>
        <v>0.41639999999999999</v>
      </c>
      <c r="AF22" s="9">
        <f t="shared" si="2"/>
        <v>0.3024</v>
      </c>
      <c r="AG22" s="1">
        <v>36</v>
      </c>
      <c r="AH22" s="9">
        <f t="shared" si="3"/>
        <v>0.50080000000000002</v>
      </c>
      <c r="AI22" s="9">
        <f t="shared" si="3"/>
        <v>0.46079999999999999</v>
      </c>
      <c r="AJ22" s="1">
        <v>36</v>
      </c>
      <c r="AK22" s="9">
        <f t="shared" si="4"/>
        <v>3.01</v>
      </c>
      <c r="AL22" s="9">
        <f t="shared" si="4"/>
        <v>2.4</v>
      </c>
      <c r="AM22" s="14"/>
    </row>
    <row r="23" spans="2:39" ht="15" x14ac:dyDescent="0.25">
      <c r="B23" s="1">
        <v>37</v>
      </c>
      <c r="C23" s="9">
        <v>1.43</v>
      </c>
      <c r="D23" s="9">
        <v>0.83</v>
      </c>
      <c r="E23" s="9">
        <v>1.9</v>
      </c>
      <c r="F23" s="9">
        <v>1.43</v>
      </c>
      <c r="G23" s="10">
        <v>0.21</v>
      </c>
      <c r="H23" s="11">
        <v>0.12</v>
      </c>
      <c r="I23" s="11">
        <v>0.25</v>
      </c>
      <c r="J23" s="12">
        <v>0.2</v>
      </c>
      <c r="K23" s="10">
        <v>0.37</v>
      </c>
      <c r="L23" s="11">
        <v>0.17</v>
      </c>
      <c r="M23" s="11"/>
      <c r="N23" s="12"/>
      <c r="O23" s="10">
        <v>0.62</v>
      </c>
      <c r="P23" s="11">
        <v>0.54</v>
      </c>
      <c r="Q23" s="11">
        <v>0.83</v>
      </c>
      <c r="R23" s="12">
        <v>0.78</v>
      </c>
      <c r="S23" s="10"/>
      <c r="T23" s="11"/>
      <c r="U23" s="11">
        <v>3.25</v>
      </c>
      <c r="V23" s="12">
        <v>2.56</v>
      </c>
      <c r="X23" s="1">
        <v>37</v>
      </c>
      <c r="Y23" s="9">
        <f t="shared" si="0"/>
        <v>1.6179999999999999</v>
      </c>
      <c r="Z23" s="9">
        <f t="shared" si="0"/>
        <v>1.0699999999999998</v>
      </c>
      <c r="AA23" s="1">
        <v>37</v>
      </c>
      <c r="AB23" s="9">
        <f t="shared" si="1"/>
        <v>0.22600000000000001</v>
      </c>
      <c r="AC23" s="9">
        <f t="shared" si="1"/>
        <v>0.15200000000000002</v>
      </c>
      <c r="AD23" s="1">
        <v>37</v>
      </c>
      <c r="AE23" s="9">
        <f t="shared" si="2"/>
        <v>0.4284</v>
      </c>
      <c r="AF23" s="9">
        <f t="shared" si="2"/>
        <v>0.30840000000000001</v>
      </c>
      <c r="AG23" s="1">
        <v>37</v>
      </c>
      <c r="AH23" s="9">
        <f t="shared" si="3"/>
        <v>0.56320000000000003</v>
      </c>
      <c r="AI23" s="9">
        <f t="shared" si="3"/>
        <v>0.50880000000000014</v>
      </c>
      <c r="AJ23" s="1">
        <v>37</v>
      </c>
      <c r="AK23" s="9">
        <f t="shared" si="4"/>
        <v>3.25</v>
      </c>
      <c r="AL23" s="9">
        <f t="shared" si="4"/>
        <v>2.56</v>
      </c>
      <c r="AM23" s="14"/>
    </row>
    <row r="24" spans="2:39" ht="15" x14ac:dyDescent="0.25">
      <c r="B24" s="1">
        <v>38</v>
      </c>
      <c r="C24" s="9">
        <v>1.51</v>
      </c>
      <c r="D24" s="9">
        <v>0.86</v>
      </c>
      <c r="E24" s="9">
        <v>2.02</v>
      </c>
      <c r="F24" s="9">
        <v>1.51</v>
      </c>
      <c r="G24" s="10">
        <v>0.23</v>
      </c>
      <c r="H24" s="11">
        <v>0.13</v>
      </c>
      <c r="I24" s="11">
        <v>0.28000000000000003</v>
      </c>
      <c r="J24" s="12">
        <v>0.2</v>
      </c>
      <c r="K24" s="10">
        <v>0.38</v>
      </c>
      <c r="L24" s="11">
        <v>0.17</v>
      </c>
      <c r="M24" s="11"/>
      <c r="N24" s="12"/>
      <c r="O24" s="10">
        <v>0.69</v>
      </c>
      <c r="P24" s="11">
        <v>0.59</v>
      </c>
      <c r="Q24" s="11">
        <v>0.94</v>
      </c>
      <c r="R24" s="12">
        <v>0.86</v>
      </c>
      <c r="S24" s="10"/>
      <c r="T24" s="11"/>
      <c r="U24" s="11">
        <v>3.5</v>
      </c>
      <c r="V24" s="12">
        <v>2.8</v>
      </c>
      <c r="X24" s="1">
        <v>38</v>
      </c>
      <c r="Y24" s="9">
        <f t="shared" si="0"/>
        <v>1.714</v>
      </c>
      <c r="Z24" s="9">
        <f t="shared" si="0"/>
        <v>1.1200000000000001</v>
      </c>
      <c r="AA24" s="1">
        <v>38</v>
      </c>
      <c r="AB24" s="9">
        <f t="shared" si="1"/>
        <v>0.25</v>
      </c>
      <c r="AC24" s="9">
        <f t="shared" si="1"/>
        <v>0.15800000000000003</v>
      </c>
      <c r="AD24" s="1">
        <v>38</v>
      </c>
      <c r="AE24" s="9">
        <f t="shared" si="2"/>
        <v>0.43440000000000001</v>
      </c>
      <c r="AF24" s="9">
        <f t="shared" si="2"/>
        <v>0.30840000000000001</v>
      </c>
      <c r="AG24" s="1">
        <v>38</v>
      </c>
      <c r="AH24" s="9">
        <f t="shared" si="3"/>
        <v>0.63200000000000012</v>
      </c>
      <c r="AI24" s="9">
        <f t="shared" si="3"/>
        <v>0.55840000000000001</v>
      </c>
      <c r="AJ24" s="1">
        <v>38</v>
      </c>
      <c r="AK24" s="9">
        <f t="shared" si="4"/>
        <v>3.5</v>
      </c>
      <c r="AL24" s="9">
        <f t="shared" si="4"/>
        <v>2.8</v>
      </c>
      <c r="AM24" s="14"/>
    </row>
    <row r="25" spans="2:39" ht="15" x14ac:dyDescent="0.25">
      <c r="B25" s="1">
        <v>39</v>
      </c>
      <c r="C25" s="9">
        <v>1.6</v>
      </c>
      <c r="D25" s="9">
        <v>0.9</v>
      </c>
      <c r="E25" s="9">
        <v>2.14</v>
      </c>
      <c r="F25" s="9">
        <v>1.58</v>
      </c>
      <c r="G25" s="10">
        <v>0.24</v>
      </c>
      <c r="H25" s="11">
        <v>0.14000000000000001</v>
      </c>
      <c r="I25" s="11">
        <v>0.3</v>
      </c>
      <c r="J25" s="12">
        <v>0.22</v>
      </c>
      <c r="K25" s="10">
        <v>0.4</v>
      </c>
      <c r="L25" s="11">
        <v>0.17</v>
      </c>
      <c r="M25" s="11"/>
      <c r="N25" s="12"/>
      <c r="O25" s="10">
        <v>0.78</v>
      </c>
      <c r="P25" s="11">
        <v>0.64</v>
      </c>
      <c r="Q25" s="11">
        <v>1.08</v>
      </c>
      <c r="R25" s="12">
        <v>0.96</v>
      </c>
      <c r="S25" s="10"/>
      <c r="T25" s="11"/>
      <c r="U25" s="11">
        <v>3.8</v>
      </c>
      <c r="V25" s="12">
        <v>3.06</v>
      </c>
      <c r="X25" s="1">
        <v>39</v>
      </c>
      <c r="Y25" s="9">
        <f t="shared" si="0"/>
        <v>1.8160000000000001</v>
      </c>
      <c r="Z25" s="9">
        <f t="shared" si="0"/>
        <v>1.1720000000000002</v>
      </c>
      <c r="AA25" s="1">
        <v>39</v>
      </c>
      <c r="AB25" s="9">
        <f t="shared" si="1"/>
        <v>0.26400000000000001</v>
      </c>
      <c r="AC25" s="9">
        <f t="shared" si="1"/>
        <v>0.17200000000000001</v>
      </c>
      <c r="AD25" s="1">
        <v>39</v>
      </c>
      <c r="AE25" s="9">
        <f t="shared" si="2"/>
        <v>0.44640000000000002</v>
      </c>
      <c r="AF25" s="9">
        <f t="shared" si="2"/>
        <v>0.30840000000000001</v>
      </c>
      <c r="AG25" s="1">
        <v>39</v>
      </c>
      <c r="AH25" s="9">
        <f t="shared" si="3"/>
        <v>0.72000000000000008</v>
      </c>
      <c r="AI25" s="9">
        <f t="shared" si="3"/>
        <v>0.61440000000000006</v>
      </c>
      <c r="AJ25" s="1">
        <v>39</v>
      </c>
      <c r="AK25" s="9">
        <f t="shared" si="4"/>
        <v>3.8</v>
      </c>
      <c r="AL25" s="9">
        <f t="shared" si="4"/>
        <v>3.06</v>
      </c>
      <c r="AM25" s="14"/>
    </row>
    <row r="26" spans="2:39" ht="15" x14ac:dyDescent="0.25">
      <c r="B26" s="1">
        <v>40</v>
      </c>
      <c r="C26" s="9">
        <v>1.68</v>
      </c>
      <c r="D26" s="9">
        <v>0.96</v>
      </c>
      <c r="E26" s="9">
        <v>2.2599999999999998</v>
      </c>
      <c r="F26" s="9">
        <v>1.72</v>
      </c>
      <c r="G26" s="10">
        <v>0.25</v>
      </c>
      <c r="H26" s="11">
        <v>0.14000000000000001</v>
      </c>
      <c r="I26" s="11">
        <v>0.33</v>
      </c>
      <c r="J26" s="12">
        <v>0.25</v>
      </c>
      <c r="K26" s="10">
        <v>0.42</v>
      </c>
      <c r="L26" s="11">
        <v>0.18</v>
      </c>
      <c r="M26" s="11"/>
      <c r="N26" s="12"/>
      <c r="O26" s="10">
        <v>0.87</v>
      </c>
      <c r="P26" s="11">
        <v>0.69</v>
      </c>
      <c r="Q26" s="11">
        <v>1.26</v>
      </c>
      <c r="R26" s="12">
        <v>1.07</v>
      </c>
      <c r="S26" s="10"/>
      <c r="T26" s="11"/>
      <c r="U26" s="11">
        <v>4.13</v>
      </c>
      <c r="V26" s="12">
        <v>3.35</v>
      </c>
      <c r="X26" s="1">
        <v>40</v>
      </c>
      <c r="Y26" s="9">
        <f t="shared" si="0"/>
        <v>1.9119999999999999</v>
      </c>
      <c r="Z26" s="9">
        <f t="shared" si="0"/>
        <v>1.264</v>
      </c>
      <c r="AA26" s="1">
        <v>40</v>
      </c>
      <c r="AB26" s="9">
        <f t="shared" si="1"/>
        <v>0.28200000000000003</v>
      </c>
      <c r="AC26" s="9">
        <f t="shared" si="1"/>
        <v>0.184</v>
      </c>
      <c r="AD26" s="1">
        <v>40</v>
      </c>
      <c r="AE26" s="9">
        <f t="shared" si="2"/>
        <v>0.45840000000000003</v>
      </c>
      <c r="AF26" s="9">
        <f t="shared" si="2"/>
        <v>0.31440000000000001</v>
      </c>
      <c r="AG26" s="1">
        <v>40</v>
      </c>
      <c r="AH26" s="9">
        <f t="shared" si="3"/>
        <v>0.82080000000000009</v>
      </c>
      <c r="AI26" s="9">
        <f t="shared" si="3"/>
        <v>0.67360000000000009</v>
      </c>
      <c r="AJ26" s="1">
        <v>40</v>
      </c>
      <c r="AK26" s="9">
        <f t="shared" si="4"/>
        <v>4.13</v>
      </c>
      <c r="AL26" s="9">
        <f t="shared" si="4"/>
        <v>3.35</v>
      </c>
      <c r="AM26" s="14"/>
    </row>
    <row r="27" spans="2:39" ht="15" x14ac:dyDescent="0.25">
      <c r="B27" s="1">
        <v>41</v>
      </c>
      <c r="C27" s="9">
        <v>1.74</v>
      </c>
      <c r="D27" s="9">
        <v>1.03</v>
      </c>
      <c r="E27" s="9">
        <v>2.39</v>
      </c>
      <c r="F27" s="9">
        <v>1.85</v>
      </c>
      <c r="G27" s="10">
        <v>0.26</v>
      </c>
      <c r="H27" s="11">
        <v>0.15</v>
      </c>
      <c r="I27" s="11">
        <v>0.36</v>
      </c>
      <c r="J27" s="12">
        <v>0.3</v>
      </c>
      <c r="K27" s="10">
        <v>0.44</v>
      </c>
      <c r="L27" s="11">
        <v>0.18</v>
      </c>
      <c r="M27" s="11"/>
      <c r="N27" s="12"/>
      <c r="O27" s="10">
        <v>0.99</v>
      </c>
      <c r="P27" s="11">
        <v>0.75</v>
      </c>
      <c r="Q27" s="11">
        <v>1.49</v>
      </c>
      <c r="R27" s="12">
        <v>1.2</v>
      </c>
      <c r="S27" s="10"/>
      <c r="T27" s="11"/>
      <c r="U27" s="11">
        <v>4.5199999999999996</v>
      </c>
      <c r="V27" s="12">
        <v>3.63</v>
      </c>
      <c r="X27" s="1">
        <v>41</v>
      </c>
      <c r="Y27" s="9">
        <f t="shared" si="0"/>
        <v>2</v>
      </c>
      <c r="Z27" s="9">
        <f t="shared" si="0"/>
        <v>1.3580000000000001</v>
      </c>
      <c r="AA27" s="1">
        <v>41</v>
      </c>
      <c r="AB27" s="9">
        <f t="shared" si="1"/>
        <v>0.3</v>
      </c>
      <c r="AC27" s="9">
        <f t="shared" si="1"/>
        <v>0.21</v>
      </c>
      <c r="AD27" s="1">
        <v>41</v>
      </c>
      <c r="AE27" s="9">
        <f t="shared" si="2"/>
        <v>0.47040000000000004</v>
      </c>
      <c r="AF27" s="9">
        <f t="shared" si="2"/>
        <v>0.31440000000000001</v>
      </c>
      <c r="AG27" s="1">
        <v>41</v>
      </c>
      <c r="AH27" s="9">
        <f t="shared" si="3"/>
        <v>0.95199999999999996</v>
      </c>
      <c r="AI27" s="9">
        <f t="shared" si="3"/>
        <v>0.74399999999999999</v>
      </c>
      <c r="AJ27" s="1">
        <v>41</v>
      </c>
      <c r="AK27" s="9">
        <f t="shared" si="4"/>
        <v>4.5199999999999996</v>
      </c>
      <c r="AL27" s="9">
        <f t="shared" si="4"/>
        <v>3.63</v>
      </c>
      <c r="AM27" s="14"/>
    </row>
    <row r="28" spans="2:39" ht="15" x14ac:dyDescent="0.25">
      <c r="B28" s="1">
        <v>42</v>
      </c>
      <c r="C28" s="9">
        <v>1.84</v>
      </c>
      <c r="D28" s="9">
        <v>1.1200000000000001</v>
      </c>
      <c r="E28" s="9">
        <v>2.5099999999999998</v>
      </c>
      <c r="F28" s="9">
        <v>1.98</v>
      </c>
      <c r="G28" s="10">
        <v>0.28000000000000003</v>
      </c>
      <c r="H28" s="11">
        <v>0.17</v>
      </c>
      <c r="I28" s="11">
        <v>0.39</v>
      </c>
      <c r="J28" s="12">
        <v>0.32</v>
      </c>
      <c r="K28" s="10">
        <v>0.47</v>
      </c>
      <c r="L28" s="11">
        <v>0.19</v>
      </c>
      <c r="M28" s="11"/>
      <c r="N28" s="12"/>
      <c r="O28" s="10">
        <v>1.1100000000000001</v>
      </c>
      <c r="P28" s="11">
        <v>0.82</v>
      </c>
      <c r="Q28" s="11">
        <v>1.77</v>
      </c>
      <c r="R28" s="12">
        <v>1.34</v>
      </c>
      <c r="S28" s="10"/>
      <c r="T28" s="11"/>
      <c r="U28" s="11">
        <v>4.95</v>
      </c>
      <c r="V28" s="12">
        <v>3.95</v>
      </c>
      <c r="X28" s="1">
        <v>42</v>
      </c>
      <c r="Y28" s="9">
        <f t="shared" si="0"/>
        <v>2.1080000000000001</v>
      </c>
      <c r="Z28" s="9">
        <f t="shared" si="0"/>
        <v>1.464</v>
      </c>
      <c r="AA28" s="1">
        <v>42</v>
      </c>
      <c r="AB28" s="9">
        <f t="shared" si="1"/>
        <v>0.32400000000000007</v>
      </c>
      <c r="AC28" s="9">
        <f t="shared" si="1"/>
        <v>0.23</v>
      </c>
      <c r="AD28" s="1">
        <v>42</v>
      </c>
      <c r="AE28" s="9">
        <f t="shared" si="2"/>
        <v>0.4884</v>
      </c>
      <c r="AF28" s="9">
        <f t="shared" si="2"/>
        <v>0.32040000000000002</v>
      </c>
      <c r="AG28" s="1">
        <v>42</v>
      </c>
      <c r="AH28" s="9">
        <f t="shared" si="3"/>
        <v>1.0992000000000002</v>
      </c>
      <c r="AI28" s="9">
        <f t="shared" si="3"/>
        <v>0.82240000000000002</v>
      </c>
      <c r="AJ28" s="1">
        <v>42</v>
      </c>
      <c r="AK28" s="9">
        <f t="shared" si="4"/>
        <v>4.95</v>
      </c>
      <c r="AL28" s="9">
        <f t="shared" si="4"/>
        <v>3.95</v>
      </c>
      <c r="AM28" s="14"/>
    </row>
    <row r="29" spans="2:39" ht="15" x14ac:dyDescent="0.25">
      <c r="B29" s="1">
        <v>43</v>
      </c>
      <c r="C29" s="9">
        <v>1.93</v>
      </c>
      <c r="D29" s="9">
        <v>1.19</v>
      </c>
      <c r="E29" s="9">
        <v>2.64</v>
      </c>
      <c r="F29" s="9">
        <v>2.11</v>
      </c>
      <c r="G29" s="10">
        <v>0.28999999999999998</v>
      </c>
      <c r="H29" s="11">
        <v>0.18</v>
      </c>
      <c r="I29" s="11">
        <v>0.41</v>
      </c>
      <c r="J29" s="12">
        <v>0.36</v>
      </c>
      <c r="K29" s="10">
        <v>0.49</v>
      </c>
      <c r="L29" s="11">
        <v>0.19</v>
      </c>
      <c r="M29" s="11"/>
      <c r="N29" s="12"/>
      <c r="O29" s="10">
        <v>1.24</v>
      </c>
      <c r="P29" s="11">
        <v>0.89</v>
      </c>
      <c r="Q29" s="11">
        <v>2.0099999999999998</v>
      </c>
      <c r="R29" s="12">
        <v>1.51</v>
      </c>
      <c r="S29" s="10"/>
      <c r="T29" s="11"/>
      <c r="U29" s="11">
        <v>5.52</v>
      </c>
      <c r="V29" s="12">
        <v>4.3</v>
      </c>
      <c r="X29" s="1">
        <v>43</v>
      </c>
      <c r="Y29" s="9">
        <f t="shared" si="0"/>
        <v>2.214</v>
      </c>
      <c r="Z29" s="9">
        <f t="shared" si="0"/>
        <v>1.5579999999999998</v>
      </c>
      <c r="AA29" s="1">
        <v>43</v>
      </c>
      <c r="AB29" s="9">
        <f t="shared" si="1"/>
        <v>0.33799999999999997</v>
      </c>
      <c r="AC29" s="9">
        <f t="shared" si="1"/>
        <v>0.252</v>
      </c>
      <c r="AD29" s="1">
        <v>43</v>
      </c>
      <c r="AE29" s="9">
        <f t="shared" si="2"/>
        <v>0.50039999999999996</v>
      </c>
      <c r="AF29" s="9">
        <f t="shared" si="2"/>
        <v>0.32040000000000002</v>
      </c>
      <c r="AG29" s="1">
        <v>43</v>
      </c>
      <c r="AH29" s="9">
        <f t="shared" si="3"/>
        <v>1.2384000000000002</v>
      </c>
      <c r="AI29" s="9">
        <f t="shared" si="3"/>
        <v>0.9104000000000001</v>
      </c>
      <c r="AJ29" s="1">
        <v>43</v>
      </c>
      <c r="AK29" s="9">
        <f t="shared" si="4"/>
        <v>5.52</v>
      </c>
      <c r="AL29" s="9">
        <f t="shared" si="4"/>
        <v>4.3</v>
      </c>
      <c r="AM29" s="14"/>
    </row>
    <row r="30" spans="2:39" ht="15" x14ac:dyDescent="0.25">
      <c r="B30" s="1">
        <v>44</v>
      </c>
      <c r="C30" s="9">
        <v>2.08</v>
      </c>
      <c r="D30" s="9">
        <v>1.3</v>
      </c>
      <c r="E30" s="9">
        <v>2.77</v>
      </c>
      <c r="F30" s="9">
        <v>2.25</v>
      </c>
      <c r="G30" s="10">
        <v>0.31</v>
      </c>
      <c r="H30" s="11">
        <v>0.19</v>
      </c>
      <c r="I30" s="11">
        <v>0.47</v>
      </c>
      <c r="J30" s="12">
        <v>0.41</v>
      </c>
      <c r="K30" s="10">
        <v>0.53</v>
      </c>
      <c r="L30" s="11">
        <v>0.2</v>
      </c>
      <c r="M30" s="11"/>
      <c r="N30" s="12"/>
      <c r="O30" s="10">
        <v>1.38</v>
      </c>
      <c r="P30" s="11">
        <v>0.97</v>
      </c>
      <c r="Q30" s="11">
        <v>2.27</v>
      </c>
      <c r="R30" s="12">
        <v>1.7</v>
      </c>
      <c r="S30" s="10"/>
      <c r="T30" s="11"/>
      <c r="U30" s="11">
        <v>6.08</v>
      </c>
      <c r="V30" s="12">
        <v>4.6900000000000004</v>
      </c>
      <c r="X30" s="1">
        <v>44</v>
      </c>
      <c r="Y30" s="9">
        <f t="shared" si="0"/>
        <v>2.3559999999999999</v>
      </c>
      <c r="Z30" s="9">
        <f t="shared" si="0"/>
        <v>1.6800000000000002</v>
      </c>
      <c r="AA30" s="1">
        <v>44</v>
      </c>
      <c r="AB30" s="9">
        <f t="shared" si="1"/>
        <v>0.374</v>
      </c>
      <c r="AC30" s="9">
        <f t="shared" si="1"/>
        <v>0.27800000000000002</v>
      </c>
      <c r="AD30" s="1">
        <v>44</v>
      </c>
      <c r="AE30" s="9">
        <f t="shared" si="2"/>
        <v>0.52439999999999998</v>
      </c>
      <c r="AF30" s="9">
        <f t="shared" si="2"/>
        <v>0.32640000000000002</v>
      </c>
      <c r="AG30" s="1">
        <v>44</v>
      </c>
      <c r="AH30" s="9">
        <f t="shared" si="3"/>
        <v>1.3888</v>
      </c>
      <c r="AI30" s="9">
        <f t="shared" si="3"/>
        <v>1.0096000000000001</v>
      </c>
      <c r="AJ30" s="1">
        <v>44</v>
      </c>
      <c r="AK30" s="9">
        <f t="shared" si="4"/>
        <v>6.08</v>
      </c>
      <c r="AL30" s="9">
        <f t="shared" si="4"/>
        <v>4.6900000000000004</v>
      </c>
      <c r="AM30" s="14"/>
    </row>
    <row r="31" spans="2:39" ht="15" x14ac:dyDescent="0.25">
      <c r="B31" s="1">
        <v>45</v>
      </c>
      <c r="C31" s="9">
        <v>2.21</v>
      </c>
      <c r="D31" s="9">
        <v>1.4</v>
      </c>
      <c r="E31" s="9">
        <v>3.04</v>
      </c>
      <c r="F31" s="9">
        <v>2.38</v>
      </c>
      <c r="G31" s="10">
        <v>0.33</v>
      </c>
      <c r="H31" s="11">
        <v>0.21</v>
      </c>
      <c r="I31" s="11">
        <v>0.5</v>
      </c>
      <c r="J31" s="12">
        <v>0.47</v>
      </c>
      <c r="K31" s="10">
        <v>0.56000000000000005</v>
      </c>
      <c r="L31" s="11">
        <v>0.22</v>
      </c>
      <c r="M31" s="11"/>
      <c r="N31" s="12"/>
      <c r="O31" s="10">
        <v>1.53</v>
      </c>
      <c r="P31" s="11">
        <v>1.06</v>
      </c>
      <c r="Q31" s="11">
        <v>2.54</v>
      </c>
      <c r="R31" s="12">
        <v>1.89</v>
      </c>
      <c r="S31" s="10"/>
      <c r="T31" s="11"/>
      <c r="U31" s="11">
        <v>6.67</v>
      </c>
      <c r="V31" s="12">
        <v>5.0599999999999996</v>
      </c>
      <c r="X31" s="1">
        <v>45</v>
      </c>
      <c r="Y31" s="9">
        <f t="shared" si="0"/>
        <v>2.5419999999999998</v>
      </c>
      <c r="Z31" s="9">
        <f t="shared" si="0"/>
        <v>1.7919999999999998</v>
      </c>
      <c r="AA31" s="1">
        <v>45</v>
      </c>
      <c r="AB31" s="9">
        <f t="shared" si="1"/>
        <v>0.39800000000000002</v>
      </c>
      <c r="AC31" s="9">
        <f t="shared" si="1"/>
        <v>0.314</v>
      </c>
      <c r="AD31" s="1">
        <v>45</v>
      </c>
      <c r="AE31" s="9">
        <f t="shared" si="2"/>
        <v>0.54239999999999999</v>
      </c>
      <c r="AF31" s="9">
        <f t="shared" si="2"/>
        <v>0.33840000000000003</v>
      </c>
      <c r="AG31" s="1">
        <v>45</v>
      </c>
      <c r="AH31" s="9">
        <f t="shared" si="3"/>
        <v>1.5472000000000001</v>
      </c>
      <c r="AI31" s="9">
        <f t="shared" si="3"/>
        <v>1.1135999999999999</v>
      </c>
      <c r="AJ31" s="1">
        <v>45</v>
      </c>
      <c r="AK31" s="9">
        <f t="shared" si="4"/>
        <v>6.67</v>
      </c>
      <c r="AL31" s="9">
        <f t="shared" si="4"/>
        <v>5.0599999999999996</v>
      </c>
      <c r="AM31" s="14"/>
    </row>
    <row r="32" spans="2:39" ht="15" x14ac:dyDescent="0.25">
      <c r="B32" s="1">
        <v>46</v>
      </c>
      <c r="C32" s="9">
        <v>2.4</v>
      </c>
      <c r="D32" s="9">
        <v>1.51</v>
      </c>
      <c r="E32" s="9">
        <v>3.31</v>
      </c>
      <c r="F32" s="9">
        <v>2.52</v>
      </c>
      <c r="G32" s="10">
        <v>0.36</v>
      </c>
      <c r="H32" s="11">
        <v>0.23</v>
      </c>
      <c r="I32" s="11">
        <v>0.55000000000000004</v>
      </c>
      <c r="J32" s="12">
        <v>0.52</v>
      </c>
      <c r="K32" s="10">
        <v>0.6</v>
      </c>
      <c r="L32" s="11">
        <v>0.22</v>
      </c>
      <c r="M32" s="11"/>
      <c r="N32" s="12"/>
      <c r="O32" s="10">
        <v>1.7</v>
      </c>
      <c r="P32" s="11">
        <v>1.1499999999999999</v>
      </c>
      <c r="Q32" s="11">
        <v>2.8</v>
      </c>
      <c r="R32" s="12">
        <v>2.0699999999999998</v>
      </c>
      <c r="S32" s="10"/>
      <c r="T32" s="11"/>
      <c r="U32" s="11">
        <v>7.26</v>
      </c>
      <c r="V32" s="12">
        <v>5.44</v>
      </c>
      <c r="X32" s="1">
        <v>46</v>
      </c>
      <c r="Y32" s="9">
        <f t="shared" si="0"/>
        <v>2.7640000000000002</v>
      </c>
      <c r="Z32" s="9">
        <f t="shared" si="0"/>
        <v>1.9139999999999999</v>
      </c>
      <c r="AA32" s="1">
        <v>46</v>
      </c>
      <c r="AB32" s="9">
        <f t="shared" si="1"/>
        <v>0.43600000000000005</v>
      </c>
      <c r="AC32" s="9">
        <f t="shared" si="1"/>
        <v>0.34600000000000003</v>
      </c>
      <c r="AD32" s="1">
        <v>46</v>
      </c>
      <c r="AE32" s="9">
        <f t="shared" si="2"/>
        <v>0.56640000000000001</v>
      </c>
      <c r="AF32" s="9">
        <f t="shared" si="2"/>
        <v>0.33840000000000003</v>
      </c>
      <c r="AG32" s="1">
        <v>46</v>
      </c>
      <c r="AH32" s="9">
        <f t="shared" si="3"/>
        <v>1.7119999999999997</v>
      </c>
      <c r="AI32" s="9">
        <f t="shared" si="3"/>
        <v>1.2143999999999999</v>
      </c>
      <c r="AJ32" s="1">
        <v>46</v>
      </c>
      <c r="AK32" s="9">
        <f t="shared" si="4"/>
        <v>7.26</v>
      </c>
      <c r="AL32" s="9">
        <f t="shared" si="4"/>
        <v>5.44</v>
      </c>
      <c r="AM32" s="14"/>
    </row>
    <row r="33" spans="2:39" ht="15" x14ac:dyDescent="0.25">
      <c r="B33" s="1">
        <v>47</v>
      </c>
      <c r="C33" s="9">
        <v>2.58</v>
      </c>
      <c r="D33" s="9">
        <v>1.63</v>
      </c>
      <c r="E33" s="9">
        <v>3.58</v>
      </c>
      <c r="F33" s="9">
        <v>2.65</v>
      </c>
      <c r="G33" s="10">
        <v>0.39</v>
      </c>
      <c r="H33" s="11">
        <v>0.24</v>
      </c>
      <c r="I33" s="11">
        <v>0.61</v>
      </c>
      <c r="J33" s="12">
        <v>0.57999999999999996</v>
      </c>
      <c r="K33" s="10">
        <v>0.64</v>
      </c>
      <c r="L33" s="11">
        <v>0.23</v>
      </c>
      <c r="M33" s="11"/>
      <c r="N33" s="12"/>
      <c r="O33" s="10">
        <v>1.88</v>
      </c>
      <c r="P33" s="11">
        <v>1.24</v>
      </c>
      <c r="Q33" s="11">
        <v>3.01</v>
      </c>
      <c r="R33" s="12">
        <v>2.25</v>
      </c>
      <c r="S33" s="10"/>
      <c r="T33" s="11"/>
      <c r="U33" s="11">
        <v>7.8</v>
      </c>
      <c r="V33" s="12">
        <v>5.81</v>
      </c>
      <c r="X33" s="1">
        <v>47</v>
      </c>
      <c r="Y33" s="9">
        <f t="shared" si="0"/>
        <v>2.9800000000000004</v>
      </c>
      <c r="Z33" s="9">
        <f t="shared" si="0"/>
        <v>2.0379999999999998</v>
      </c>
      <c r="AA33" s="1">
        <v>47</v>
      </c>
      <c r="AB33" s="9">
        <f t="shared" si="1"/>
        <v>0.47799999999999998</v>
      </c>
      <c r="AC33" s="9">
        <f t="shared" si="1"/>
        <v>0.376</v>
      </c>
      <c r="AD33" s="1">
        <v>47</v>
      </c>
      <c r="AE33" s="9">
        <f t="shared" si="2"/>
        <v>0.59040000000000004</v>
      </c>
      <c r="AF33" s="9">
        <f t="shared" si="2"/>
        <v>0.34440000000000004</v>
      </c>
      <c r="AG33" s="1">
        <v>47</v>
      </c>
      <c r="AH33" s="9">
        <f t="shared" si="3"/>
        <v>1.8655999999999999</v>
      </c>
      <c r="AI33" s="9">
        <f t="shared" si="3"/>
        <v>1.3152000000000001</v>
      </c>
      <c r="AJ33" s="1">
        <v>47</v>
      </c>
      <c r="AK33" s="9">
        <f t="shared" si="4"/>
        <v>7.8</v>
      </c>
      <c r="AL33" s="9">
        <f t="shared" si="4"/>
        <v>5.81</v>
      </c>
      <c r="AM33" s="14"/>
    </row>
    <row r="34" spans="2:39" ht="15" x14ac:dyDescent="0.25">
      <c r="B34" s="1">
        <v>48</v>
      </c>
      <c r="C34" s="9">
        <v>2.8</v>
      </c>
      <c r="D34" s="9">
        <v>1.79</v>
      </c>
      <c r="E34" s="9">
        <v>3.85</v>
      </c>
      <c r="F34" s="9">
        <v>2.79</v>
      </c>
      <c r="G34" s="10">
        <v>0.42</v>
      </c>
      <c r="H34" s="11">
        <v>0.27</v>
      </c>
      <c r="I34" s="11">
        <v>0.66</v>
      </c>
      <c r="J34" s="12">
        <v>0.63</v>
      </c>
      <c r="K34" s="10">
        <v>0.67</v>
      </c>
      <c r="L34" s="11">
        <v>0.24</v>
      </c>
      <c r="M34" s="11"/>
      <c r="N34" s="12"/>
      <c r="O34" s="10">
        <v>2.0099999999999998</v>
      </c>
      <c r="P34" s="11">
        <v>1.29</v>
      </c>
      <c r="Q34" s="11">
        <v>3.15</v>
      </c>
      <c r="R34" s="12">
        <v>2.41</v>
      </c>
      <c r="S34" s="10"/>
      <c r="T34" s="11"/>
      <c r="U34" s="11">
        <v>8.26</v>
      </c>
      <c r="V34" s="12">
        <v>6.21</v>
      </c>
      <c r="X34" s="1">
        <v>48</v>
      </c>
      <c r="Y34" s="9">
        <f t="shared" si="0"/>
        <v>3.2199999999999998</v>
      </c>
      <c r="Z34" s="9">
        <f t="shared" si="0"/>
        <v>2.1900000000000004</v>
      </c>
      <c r="AA34" s="1">
        <v>48</v>
      </c>
      <c r="AB34" s="9">
        <f t="shared" si="1"/>
        <v>0.51600000000000001</v>
      </c>
      <c r="AC34" s="9">
        <f t="shared" si="1"/>
        <v>0.41400000000000003</v>
      </c>
      <c r="AD34" s="1">
        <v>48</v>
      </c>
      <c r="AE34" s="9">
        <f t="shared" si="2"/>
        <v>0.60840000000000005</v>
      </c>
      <c r="AF34" s="9">
        <f t="shared" si="2"/>
        <v>0.35040000000000004</v>
      </c>
      <c r="AG34" s="1">
        <v>48</v>
      </c>
      <c r="AH34" s="9">
        <f t="shared" si="3"/>
        <v>1.9727999999999999</v>
      </c>
      <c r="AI34" s="9">
        <f t="shared" si="3"/>
        <v>1.3904000000000001</v>
      </c>
      <c r="AJ34" s="1">
        <v>48</v>
      </c>
      <c r="AK34" s="9">
        <f t="shared" si="4"/>
        <v>8.26</v>
      </c>
      <c r="AL34" s="9">
        <f t="shared" si="4"/>
        <v>6.21</v>
      </c>
      <c r="AM34" s="14"/>
    </row>
    <row r="35" spans="2:39" ht="15" x14ac:dyDescent="0.25">
      <c r="B35" s="1">
        <v>49</v>
      </c>
      <c r="C35" s="9">
        <v>3.02</v>
      </c>
      <c r="D35" s="9">
        <v>1.97</v>
      </c>
      <c r="E35" s="9">
        <v>4.13</v>
      </c>
      <c r="F35" s="9">
        <v>2.93</v>
      </c>
      <c r="G35" s="10">
        <v>0.45</v>
      </c>
      <c r="H35" s="11">
        <v>0.3</v>
      </c>
      <c r="I35" s="11">
        <v>0.72</v>
      </c>
      <c r="J35" s="12">
        <v>0.69</v>
      </c>
      <c r="K35" s="10">
        <v>0.72</v>
      </c>
      <c r="L35" s="11">
        <v>0.24</v>
      </c>
      <c r="M35" s="11"/>
      <c r="N35" s="12"/>
      <c r="O35" s="10">
        <v>2.11</v>
      </c>
      <c r="P35" s="11">
        <v>1.33</v>
      </c>
      <c r="Q35" s="11">
        <v>3.32</v>
      </c>
      <c r="R35" s="12">
        <v>2.56</v>
      </c>
      <c r="S35" s="10"/>
      <c r="T35" s="11"/>
      <c r="U35" s="11">
        <v>8.73</v>
      </c>
      <c r="V35" s="12">
        <v>6.6</v>
      </c>
      <c r="X35" s="1">
        <v>49</v>
      </c>
      <c r="Y35" s="9">
        <f t="shared" si="0"/>
        <v>3.464</v>
      </c>
      <c r="Z35" s="9">
        <f t="shared" si="0"/>
        <v>2.3540000000000001</v>
      </c>
      <c r="AA35" s="1">
        <v>49</v>
      </c>
      <c r="AB35" s="9">
        <f t="shared" si="1"/>
        <v>0.55800000000000005</v>
      </c>
      <c r="AC35" s="9">
        <f t="shared" si="1"/>
        <v>0.45599999999999996</v>
      </c>
      <c r="AD35" s="1">
        <v>49</v>
      </c>
      <c r="AE35" s="9">
        <f t="shared" si="2"/>
        <v>0.63840000000000008</v>
      </c>
      <c r="AF35" s="9">
        <f t="shared" si="2"/>
        <v>0.35040000000000004</v>
      </c>
      <c r="AG35" s="1">
        <v>49</v>
      </c>
      <c r="AH35" s="9">
        <f t="shared" si="3"/>
        <v>2.0752000000000002</v>
      </c>
      <c r="AI35" s="9">
        <f t="shared" si="3"/>
        <v>1.4576000000000002</v>
      </c>
      <c r="AJ35" s="1">
        <v>49</v>
      </c>
      <c r="AK35" s="9">
        <f t="shared" si="4"/>
        <v>8.73</v>
      </c>
      <c r="AL35" s="9">
        <f t="shared" si="4"/>
        <v>6.6</v>
      </c>
      <c r="AM35" s="14"/>
    </row>
    <row r="36" spans="2:39" ht="15" x14ac:dyDescent="0.25">
      <c r="B36" s="1">
        <v>50</v>
      </c>
      <c r="C36" s="9">
        <v>3.26</v>
      </c>
      <c r="D36" s="9">
        <v>2.15</v>
      </c>
      <c r="E36" s="9">
        <v>4.3899999999999997</v>
      </c>
      <c r="F36" s="9">
        <v>3.11</v>
      </c>
      <c r="G36" s="10">
        <v>0.49</v>
      </c>
      <c r="H36" s="11">
        <v>0.32</v>
      </c>
      <c r="I36" s="11">
        <v>0.77</v>
      </c>
      <c r="J36" s="12">
        <v>0.74</v>
      </c>
      <c r="K36" s="10">
        <v>0.77</v>
      </c>
      <c r="L36" s="11">
        <v>0.25</v>
      </c>
      <c r="M36" s="11"/>
      <c r="N36" s="12"/>
      <c r="O36" s="10">
        <v>2.2400000000000002</v>
      </c>
      <c r="P36" s="11">
        <v>1.38</v>
      </c>
      <c r="Q36" s="11">
        <v>3.53</v>
      </c>
      <c r="R36" s="12">
        <v>2.69</v>
      </c>
      <c r="S36" s="10"/>
      <c r="T36" s="11"/>
      <c r="U36" s="11">
        <v>9.2799999999999994</v>
      </c>
      <c r="V36" s="12">
        <v>7.01</v>
      </c>
      <c r="X36" s="1">
        <v>50</v>
      </c>
      <c r="Y36" s="9">
        <f t="shared" si="0"/>
        <v>3.7119999999999997</v>
      </c>
      <c r="Z36" s="9">
        <f t="shared" si="0"/>
        <v>2.5339999999999998</v>
      </c>
      <c r="AA36" s="1">
        <v>50</v>
      </c>
      <c r="AB36" s="9">
        <f t="shared" si="1"/>
        <v>0.60200000000000009</v>
      </c>
      <c r="AC36" s="9">
        <f t="shared" si="1"/>
        <v>0.48799999999999999</v>
      </c>
      <c r="AD36" s="1">
        <v>50</v>
      </c>
      <c r="AE36" s="9">
        <f t="shared" si="2"/>
        <v>0.66839999999999999</v>
      </c>
      <c r="AF36" s="9">
        <f t="shared" si="2"/>
        <v>0.35640000000000005</v>
      </c>
      <c r="AG36" s="1">
        <v>50</v>
      </c>
      <c r="AH36" s="9">
        <f t="shared" si="3"/>
        <v>2.2048000000000001</v>
      </c>
      <c r="AI36" s="9">
        <f t="shared" si="3"/>
        <v>1.5232000000000001</v>
      </c>
      <c r="AJ36" s="1">
        <v>50</v>
      </c>
      <c r="AK36" s="9">
        <f t="shared" si="4"/>
        <v>9.2799999999999994</v>
      </c>
      <c r="AL36" s="9">
        <f t="shared" si="4"/>
        <v>7.01</v>
      </c>
      <c r="AM36" s="14"/>
    </row>
    <row r="37" spans="2:39" ht="15" x14ac:dyDescent="0.25">
      <c r="B37" s="1">
        <v>51</v>
      </c>
      <c r="C37" s="9">
        <v>3.54</v>
      </c>
      <c r="D37" s="9">
        <v>2.36</v>
      </c>
      <c r="E37" s="9">
        <v>4.6399999999999997</v>
      </c>
      <c r="F37" s="9">
        <v>3.3</v>
      </c>
      <c r="G37" s="10">
        <v>0.53</v>
      </c>
      <c r="H37" s="11">
        <v>0.35</v>
      </c>
      <c r="I37" s="11">
        <v>0.85</v>
      </c>
      <c r="J37" s="12">
        <v>0.83</v>
      </c>
      <c r="K37" s="10">
        <v>0.82</v>
      </c>
      <c r="L37" s="11">
        <v>0.26</v>
      </c>
      <c r="M37" s="11"/>
      <c r="N37" s="12"/>
      <c r="O37" s="10">
        <v>2.37</v>
      </c>
      <c r="P37" s="11">
        <v>1.42</v>
      </c>
      <c r="Q37" s="11">
        <v>3.77</v>
      </c>
      <c r="R37" s="12">
        <v>2.8</v>
      </c>
      <c r="S37" s="10"/>
      <c r="T37" s="11"/>
      <c r="U37" s="11">
        <v>9.93</v>
      </c>
      <c r="V37" s="12">
        <v>7.38</v>
      </c>
      <c r="X37" s="1">
        <v>51</v>
      </c>
      <c r="Y37" s="9">
        <f t="shared" si="0"/>
        <v>3.98</v>
      </c>
      <c r="Z37" s="9">
        <f t="shared" si="0"/>
        <v>2.7359999999999998</v>
      </c>
      <c r="AA37" s="1">
        <v>51</v>
      </c>
      <c r="AB37" s="9">
        <f t="shared" si="1"/>
        <v>0.65800000000000003</v>
      </c>
      <c r="AC37" s="9">
        <f t="shared" si="1"/>
        <v>0.54200000000000004</v>
      </c>
      <c r="AD37" s="1">
        <v>51</v>
      </c>
      <c r="AE37" s="9">
        <f t="shared" si="2"/>
        <v>0.69839999999999991</v>
      </c>
      <c r="AF37" s="9">
        <f t="shared" si="2"/>
        <v>0.36240000000000006</v>
      </c>
      <c r="AG37" s="1">
        <v>51</v>
      </c>
      <c r="AH37" s="9">
        <f t="shared" si="3"/>
        <v>2.3439999999999999</v>
      </c>
      <c r="AI37" s="9">
        <f t="shared" si="3"/>
        <v>1.5776000000000001</v>
      </c>
      <c r="AJ37" s="1">
        <v>51</v>
      </c>
      <c r="AK37" s="9">
        <f t="shared" si="4"/>
        <v>9.93</v>
      </c>
      <c r="AL37" s="9">
        <f t="shared" si="4"/>
        <v>7.38</v>
      </c>
      <c r="AM37" s="14"/>
    </row>
    <row r="38" spans="2:39" ht="15" x14ac:dyDescent="0.25">
      <c r="B38" s="1">
        <v>52</v>
      </c>
      <c r="C38" s="9">
        <v>3.86</v>
      </c>
      <c r="D38" s="9">
        <v>2.57</v>
      </c>
      <c r="E38" s="9">
        <v>4.9000000000000004</v>
      </c>
      <c r="F38" s="9">
        <v>3.49</v>
      </c>
      <c r="G38" s="10">
        <v>0.57999999999999996</v>
      </c>
      <c r="H38" s="11">
        <v>0.39</v>
      </c>
      <c r="I38" s="11">
        <v>0.96</v>
      </c>
      <c r="J38" s="12">
        <v>0.88</v>
      </c>
      <c r="K38" s="10">
        <v>0.89</v>
      </c>
      <c r="L38" s="11">
        <v>0.28000000000000003</v>
      </c>
      <c r="M38" s="11"/>
      <c r="N38" s="12"/>
      <c r="O38" s="10">
        <v>2.52</v>
      </c>
      <c r="P38" s="11">
        <v>1.46</v>
      </c>
      <c r="Q38" s="11">
        <v>4.03</v>
      </c>
      <c r="R38" s="12">
        <v>2.89</v>
      </c>
      <c r="S38" s="10"/>
      <c r="T38" s="11"/>
      <c r="U38" s="11">
        <v>10.61</v>
      </c>
      <c r="V38" s="12">
        <v>7.78</v>
      </c>
      <c r="X38" s="1">
        <v>52</v>
      </c>
      <c r="Y38" s="9">
        <f t="shared" si="0"/>
        <v>4.2759999999999998</v>
      </c>
      <c r="Z38" s="9">
        <f t="shared" si="0"/>
        <v>2.9379999999999997</v>
      </c>
      <c r="AA38" s="1">
        <v>52</v>
      </c>
      <c r="AB38" s="9">
        <f t="shared" si="1"/>
        <v>0.73199999999999998</v>
      </c>
      <c r="AC38" s="9">
        <f t="shared" si="1"/>
        <v>0.58600000000000008</v>
      </c>
      <c r="AD38" s="1">
        <v>52</v>
      </c>
      <c r="AE38" s="9">
        <f t="shared" si="2"/>
        <v>0.74040000000000006</v>
      </c>
      <c r="AF38" s="9">
        <f t="shared" si="2"/>
        <v>0.37440000000000007</v>
      </c>
      <c r="AG38" s="1">
        <v>52</v>
      </c>
      <c r="AH38" s="9">
        <f t="shared" si="3"/>
        <v>2.4992000000000001</v>
      </c>
      <c r="AI38" s="9">
        <f t="shared" si="3"/>
        <v>1.6256000000000002</v>
      </c>
      <c r="AJ38" s="1">
        <v>52</v>
      </c>
      <c r="AK38" s="9">
        <f t="shared" si="4"/>
        <v>10.61</v>
      </c>
      <c r="AL38" s="9">
        <f t="shared" si="4"/>
        <v>7.78</v>
      </c>
      <c r="AM38" s="14"/>
    </row>
    <row r="39" spans="2:39" ht="15" x14ac:dyDescent="0.25">
      <c r="B39" s="1">
        <v>53</v>
      </c>
      <c r="C39" s="9">
        <v>4.2</v>
      </c>
      <c r="D39" s="9">
        <v>2.83</v>
      </c>
      <c r="E39" s="9">
        <v>5.2</v>
      </c>
      <c r="F39" s="9">
        <v>3.7</v>
      </c>
      <c r="G39" s="10">
        <v>0.63</v>
      </c>
      <c r="H39" s="11">
        <v>0.42</v>
      </c>
      <c r="I39" s="11">
        <v>1.07</v>
      </c>
      <c r="J39" s="12">
        <v>0.96</v>
      </c>
      <c r="K39" s="10">
        <v>0.96</v>
      </c>
      <c r="L39" s="11">
        <v>0.28999999999999998</v>
      </c>
      <c r="M39" s="11"/>
      <c r="N39" s="12"/>
      <c r="O39" s="10">
        <v>2.58</v>
      </c>
      <c r="P39" s="11">
        <v>1.44</v>
      </c>
      <c r="Q39" s="11">
        <v>4.1900000000000004</v>
      </c>
      <c r="R39" s="12">
        <v>2.82</v>
      </c>
      <c r="S39" s="10"/>
      <c r="T39" s="11"/>
      <c r="U39" s="11">
        <v>11.69</v>
      </c>
      <c r="V39" s="12">
        <v>8.41</v>
      </c>
      <c r="X39" s="1">
        <v>53</v>
      </c>
      <c r="Y39" s="9">
        <f t="shared" si="0"/>
        <v>4.5999999999999996</v>
      </c>
      <c r="Z39" s="9">
        <f t="shared" si="0"/>
        <v>3.1779999999999999</v>
      </c>
      <c r="AA39" s="1">
        <v>53</v>
      </c>
      <c r="AB39" s="9">
        <f t="shared" si="1"/>
        <v>0.80600000000000005</v>
      </c>
      <c r="AC39" s="9">
        <f t="shared" si="1"/>
        <v>0.63600000000000001</v>
      </c>
      <c r="AD39" s="1">
        <v>53</v>
      </c>
      <c r="AE39" s="9">
        <f t="shared" si="2"/>
        <v>0.78239999999999998</v>
      </c>
      <c r="AF39" s="9">
        <f t="shared" si="2"/>
        <v>0.38040000000000002</v>
      </c>
      <c r="AG39" s="1">
        <v>53</v>
      </c>
      <c r="AH39" s="9">
        <f t="shared" si="3"/>
        <v>2.5792000000000002</v>
      </c>
      <c r="AI39" s="9">
        <f t="shared" si="3"/>
        <v>1.5936000000000001</v>
      </c>
      <c r="AJ39" s="1">
        <v>53</v>
      </c>
      <c r="AK39" s="9">
        <f t="shared" si="4"/>
        <v>11.69</v>
      </c>
      <c r="AL39" s="9">
        <f t="shared" si="4"/>
        <v>8.41</v>
      </c>
      <c r="AM39" s="14"/>
    </row>
    <row r="40" spans="2:39" ht="15" x14ac:dyDescent="0.25">
      <c r="B40" s="1">
        <v>54</v>
      </c>
      <c r="C40" s="9">
        <v>4.55</v>
      </c>
      <c r="D40" s="9">
        <v>3.1</v>
      </c>
      <c r="E40" s="9">
        <v>5.51</v>
      </c>
      <c r="F40" s="9">
        <v>3.93</v>
      </c>
      <c r="G40" s="10">
        <v>0.68</v>
      </c>
      <c r="H40" s="11">
        <v>0.46</v>
      </c>
      <c r="I40" s="11">
        <v>1.21</v>
      </c>
      <c r="J40" s="12">
        <v>1.05</v>
      </c>
      <c r="K40" s="10">
        <v>1.03</v>
      </c>
      <c r="L40" s="11">
        <v>0.31</v>
      </c>
      <c r="M40" s="11"/>
      <c r="N40" s="12"/>
      <c r="O40" s="10">
        <v>2.64</v>
      </c>
      <c r="P40" s="11">
        <v>1.41</v>
      </c>
      <c r="Q40" s="11">
        <v>4.3600000000000003</v>
      </c>
      <c r="R40" s="12">
        <v>2.72</v>
      </c>
      <c r="S40" s="10"/>
      <c r="T40" s="11"/>
      <c r="U40" s="11">
        <v>12.8</v>
      </c>
      <c r="V40" s="12">
        <v>9.02</v>
      </c>
      <c r="X40" s="1">
        <v>54</v>
      </c>
      <c r="Y40" s="9">
        <f t="shared" si="0"/>
        <v>4.9340000000000002</v>
      </c>
      <c r="Z40" s="9">
        <f t="shared" si="0"/>
        <v>3.4319999999999999</v>
      </c>
      <c r="AA40" s="1">
        <v>54</v>
      </c>
      <c r="AB40" s="9">
        <f t="shared" si="1"/>
        <v>0.89200000000000002</v>
      </c>
      <c r="AC40" s="9">
        <f t="shared" si="1"/>
        <v>0.69600000000000006</v>
      </c>
      <c r="AD40" s="1">
        <v>54</v>
      </c>
      <c r="AE40" s="9">
        <f t="shared" si="2"/>
        <v>0.82440000000000002</v>
      </c>
      <c r="AF40" s="9">
        <f t="shared" si="2"/>
        <v>0.39240000000000003</v>
      </c>
      <c r="AG40" s="1">
        <v>54</v>
      </c>
      <c r="AH40" s="9">
        <f t="shared" si="3"/>
        <v>2.6624000000000003</v>
      </c>
      <c r="AI40" s="9">
        <f t="shared" si="3"/>
        <v>1.5472000000000001</v>
      </c>
      <c r="AJ40" s="1">
        <v>54</v>
      </c>
      <c r="AK40" s="9">
        <f t="shared" si="4"/>
        <v>12.8</v>
      </c>
      <c r="AL40" s="9">
        <f t="shared" si="4"/>
        <v>9.02</v>
      </c>
      <c r="AM40" s="14"/>
    </row>
    <row r="41" spans="2:39" ht="15" x14ac:dyDescent="0.25">
      <c r="B41" s="1">
        <v>55</v>
      </c>
      <c r="C41" s="9">
        <v>4.97</v>
      </c>
      <c r="D41" s="9">
        <v>3.4</v>
      </c>
      <c r="E41" s="9">
        <v>6.29</v>
      </c>
      <c r="F41" s="9">
        <v>4.54</v>
      </c>
      <c r="G41" s="10">
        <v>0.75</v>
      </c>
      <c r="H41" s="11">
        <v>0.51</v>
      </c>
      <c r="I41" s="11">
        <v>1.34</v>
      </c>
      <c r="J41" s="12">
        <v>1.1299999999999999</v>
      </c>
      <c r="K41" s="10">
        <v>1.1200000000000001</v>
      </c>
      <c r="L41" s="11">
        <v>0.32</v>
      </c>
      <c r="M41" s="11"/>
      <c r="N41" s="12"/>
      <c r="O41" s="10">
        <v>2.7</v>
      </c>
      <c r="P41" s="11">
        <v>1.37</v>
      </c>
      <c r="Q41" s="11">
        <v>4.49</v>
      </c>
      <c r="R41" s="12">
        <v>2.59</v>
      </c>
      <c r="S41" s="10"/>
      <c r="T41" s="11"/>
      <c r="U41" s="11">
        <v>13.92</v>
      </c>
      <c r="V41" s="12">
        <v>9.6199999999999992</v>
      </c>
      <c r="X41" s="1">
        <v>55</v>
      </c>
      <c r="Y41" s="9">
        <f t="shared" si="0"/>
        <v>5.4979999999999993</v>
      </c>
      <c r="Z41" s="9">
        <f t="shared" si="0"/>
        <v>3.8559999999999999</v>
      </c>
      <c r="AA41" s="1">
        <v>55</v>
      </c>
      <c r="AB41" s="9">
        <f t="shared" si="1"/>
        <v>0.98599999999999999</v>
      </c>
      <c r="AC41" s="9">
        <f t="shared" si="1"/>
        <v>0.75800000000000001</v>
      </c>
      <c r="AD41" s="1">
        <v>55</v>
      </c>
      <c r="AE41" s="9">
        <f t="shared" si="2"/>
        <v>0.87840000000000007</v>
      </c>
      <c r="AF41" s="9">
        <f t="shared" si="2"/>
        <v>0.39840000000000003</v>
      </c>
      <c r="AG41" s="1">
        <v>55</v>
      </c>
      <c r="AH41" s="9">
        <f t="shared" si="3"/>
        <v>2.7328000000000006</v>
      </c>
      <c r="AI41" s="9">
        <f t="shared" si="3"/>
        <v>1.4864000000000002</v>
      </c>
      <c r="AJ41" s="1">
        <v>55</v>
      </c>
      <c r="AK41" s="9">
        <f t="shared" si="4"/>
        <v>13.92</v>
      </c>
      <c r="AL41" s="9">
        <f t="shared" si="4"/>
        <v>9.6199999999999992</v>
      </c>
      <c r="AM41" s="14"/>
    </row>
    <row r="42" spans="2:39" ht="15" x14ac:dyDescent="0.25">
      <c r="B42" s="1">
        <v>56</v>
      </c>
      <c r="C42" s="9">
        <v>5.42</v>
      </c>
      <c r="D42" s="9">
        <v>3.74</v>
      </c>
      <c r="E42" s="9">
        <v>7.1</v>
      </c>
      <c r="F42" s="9">
        <v>5.17</v>
      </c>
      <c r="G42" s="10">
        <v>0.81</v>
      </c>
      <c r="H42" s="11">
        <v>0.56000000000000005</v>
      </c>
      <c r="I42" s="11">
        <v>1.49</v>
      </c>
      <c r="J42" s="12">
        <v>1.21</v>
      </c>
      <c r="K42" s="10">
        <v>1.21</v>
      </c>
      <c r="L42" s="11">
        <v>0.34</v>
      </c>
      <c r="M42" s="11"/>
      <c r="N42" s="12"/>
      <c r="O42" s="10">
        <v>2.74</v>
      </c>
      <c r="P42" s="11">
        <v>1.33</v>
      </c>
      <c r="Q42" s="11">
        <v>4.33</v>
      </c>
      <c r="R42" s="12">
        <v>2.4300000000000002</v>
      </c>
      <c r="S42" s="10"/>
      <c r="T42" s="11"/>
      <c r="U42" s="11">
        <v>14.77</v>
      </c>
      <c r="V42" s="12">
        <v>10.210000000000001</v>
      </c>
      <c r="X42" s="1">
        <v>56</v>
      </c>
      <c r="Y42" s="9">
        <f t="shared" si="0"/>
        <v>6.0919999999999996</v>
      </c>
      <c r="Z42" s="9">
        <f t="shared" si="0"/>
        <v>4.3120000000000003</v>
      </c>
      <c r="AA42" s="1">
        <v>56</v>
      </c>
      <c r="AB42" s="9">
        <f t="shared" si="1"/>
        <v>1.0819999999999999</v>
      </c>
      <c r="AC42" s="9">
        <f t="shared" si="1"/>
        <v>0.82000000000000006</v>
      </c>
      <c r="AD42" s="1">
        <v>56</v>
      </c>
      <c r="AE42" s="9">
        <f t="shared" si="2"/>
        <v>0.93240000000000001</v>
      </c>
      <c r="AF42" s="9">
        <f t="shared" si="2"/>
        <v>0.41040000000000004</v>
      </c>
      <c r="AG42" s="1">
        <v>56</v>
      </c>
      <c r="AH42" s="9">
        <f t="shared" si="3"/>
        <v>2.7008000000000005</v>
      </c>
      <c r="AI42" s="9">
        <f t="shared" si="3"/>
        <v>1.4160000000000001</v>
      </c>
      <c r="AJ42" s="1">
        <v>56</v>
      </c>
      <c r="AK42" s="9">
        <f t="shared" si="4"/>
        <v>14.77</v>
      </c>
      <c r="AL42" s="9">
        <f t="shared" si="4"/>
        <v>10.210000000000001</v>
      </c>
      <c r="AM42" s="14"/>
    </row>
    <row r="43" spans="2:39" ht="15" x14ac:dyDescent="0.25">
      <c r="B43" s="1">
        <v>57</v>
      </c>
      <c r="C43" s="9">
        <v>5.94</v>
      </c>
      <c r="D43" s="9">
        <v>4.13</v>
      </c>
      <c r="E43" s="9">
        <v>7.94</v>
      </c>
      <c r="F43" s="9">
        <v>5.82</v>
      </c>
      <c r="G43" s="10">
        <v>0.89</v>
      </c>
      <c r="H43" s="11">
        <v>0.62</v>
      </c>
      <c r="I43" s="11">
        <v>1.62</v>
      </c>
      <c r="J43" s="12">
        <v>1.29</v>
      </c>
      <c r="K43" s="10">
        <v>1.31</v>
      </c>
      <c r="L43" s="11">
        <v>0.36</v>
      </c>
      <c r="M43" s="11"/>
      <c r="N43" s="12"/>
      <c r="O43" s="10">
        <v>2.76</v>
      </c>
      <c r="P43" s="11">
        <v>1.3</v>
      </c>
      <c r="Q43" s="11">
        <v>4.1900000000000004</v>
      </c>
      <c r="R43" s="12">
        <v>2.2400000000000002</v>
      </c>
      <c r="S43" s="10"/>
      <c r="T43" s="11"/>
      <c r="U43" s="11">
        <v>15.74</v>
      </c>
      <c r="V43" s="12">
        <v>10.8</v>
      </c>
      <c r="X43" s="1">
        <v>57</v>
      </c>
      <c r="Y43" s="9">
        <f t="shared" si="0"/>
        <v>6.74</v>
      </c>
      <c r="Z43" s="9">
        <f t="shared" si="0"/>
        <v>4.806</v>
      </c>
      <c r="AA43" s="1">
        <v>57</v>
      </c>
      <c r="AB43" s="9">
        <f t="shared" si="1"/>
        <v>1.1820000000000002</v>
      </c>
      <c r="AC43" s="9">
        <f t="shared" si="1"/>
        <v>0.88800000000000001</v>
      </c>
      <c r="AD43" s="1">
        <v>57</v>
      </c>
      <c r="AE43" s="9">
        <f t="shared" si="2"/>
        <v>0.99240000000000006</v>
      </c>
      <c r="AF43" s="9">
        <f t="shared" si="2"/>
        <v>0.4224</v>
      </c>
      <c r="AG43" s="1">
        <v>57</v>
      </c>
      <c r="AH43" s="9">
        <f t="shared" si="3"/>
        <v>2.6656</v>
      </c>
      <c r="AI43" s="9">
        <f t="shared" si="3"/>
        <v>1.3408000000000002</v>
      </c>
      <c r="AJ43" s="1">
        <v>57</v>
      </c>
      <c r="AK43" s="9">
        <f t="shared" si="4"/>
        <v>15.74</v>
      </c>
      <c r="AL43" s="9">
        <f t="shared" si="4"/>
        <v>10.8</v>
      </c>
      <c r="AM43" s="14"/>
    </row>
    <row r="44" spans="2:39" ht="15" x14ac:dyDescent="0.25">
      <c r="B44" s="1">
        <v>58</v>
      </c>
      <c r="C44" s="9">
        <v>6.59</v>
      </c>
      <c r="D44" s="9">
        <v>4.58</v>
      </c>
      <c r="E44" s="9">
        <v>8.82</v>
      </c>
      <c r="F44" s="9">
        <v>6.49</v>
      </c>
      <c r="G44" s="10">
        <v>0.99</v>
      </c>
      <c r="H44" s="11">
        <v>0.69</v>
      </c>
      <c r="I44" s="11">
        <v>1.82</v>
      </c>
      <c r="J44" s="12">
        <v>1.38</v>
      </c>
      <c r="K44" s="10">
        <v>1.42</v>
      </c>
      <c r="L44" s="11">
        <v>0.37</v>
      </c>
      <c r="M44" s="11"/>
      <c r="N44" s="12"/>
      <c r="O44" s="10">
        <v>2.71</v>
      </c>
      <c r="P44" s="11">
        <v>1.23</v>
      </c>
      <c r="Q44" s="11">
        <v>3.96</v>
      </c>
      <c r="R44" s="12">
        <v>2.0299999999999998</v>
      </c>
      <c r="S44" s="10"/>
      <c r="T44" s="11"/>
      <c r="U44" s="11">
        <v>17.05</v>
      </c>
      <c r="V44" s="12">
        <v>11.59</v>
      </c>
      <c r="X44" s="1">
        <v>58</v>
      </c>
      <c r="Y44" s="9">
        <f t="shared" si="0"/>
        <v>7.4820000000000002</v>
      </c>
      <c r="Z44" s="9">
        <f t="shared" si="0"/>
        <v>5.3439999999999994</v>
      </c>
      <c r="AA44" s="1">
        <v>58</v>
      </c>
      <c r="AB44" s="9">
        <f t="shared" si="1"/>
        <v>1.3220000000000001</v>
      </c>
      <c r="AC44" s="9">
        <f t="shared" si="1"/>
        <v>0.96599999999999997</v>
      </c>
      <c r="AD44" s="1">
        <v>58</v>
      </c>
      <c r="AE44" s="9">
        <f t="shared" si="2"/>
        <v>1.0584</v>
      </c>
      <c r="AF44" s="9">
        <f t="shared" si="2"/>
        <v>0.4284</v>
      </c>
      <c r="AG44" s="1">
        <v>58</v>
      </c>
      <c r="AH44" s="9">
        <f t="shared" si="3"/>
        <v>2.5680000000000001</v>
      </c>
      <c r="AI44" s="9">
        <f t="shared" si="3"/>
        <v>1.24</v>
      </c>
      <c r="AJ44" s="1">
        <v>58</v>
      </c>
      <c r="AK44" s="9">
        <f t="shared" si="4"/>
        <v>17.05</v>
      </c>
      <c r="AL44" s="9">
        <f t="shared" si="4"/>
        <v>11.59</v>
      </c>
      <c r="AM44" s="14"/>
    </row>
    <row r="45" spans="2:39" ht="15" x14ac:dyDescent="0.25">
      <c r="B45" s="1">
        <v>59</v>
      </c>
      <c r="C45" s="9">
        <v>7.27</v>
      </c>
      <c r="D45" s="9">
        <v>5.0999999999999996</v>
      </c>
      <c r="E45" s="9">
        <v>9.73</v>
      </c>
      <c r="F45" s="9">
        <v>7.18</v>
      </c>
      <c r="G45" s="10">
        <v>1.0900000000000001</v>
      </c>
      <c r="H45" s="11">
        <v>0.77</v>
      </c>
      <c r="I45" s="11">
        <v>2.04</v>
      </c>
      <c r="J45" s="12">
        <v>1.6</v>
      </c>
      <c r="K45" s="10">
        <v>1.52</v>
      </c>
      <c r="L45" s="11">
        <v>0.38</v>
      </c>
      <c r="M45" s="11"/>
      <c r="N45" s="12"/>
      <c r="O45" s="10">
        <v>2.63</v>
      </c>
      <c r="P45" s="11">
        <v>1.1599999999999999</v>
      </c>
      <c r="Q45" s="11">
        <v>3.7</v>
      </c>
      <c r="R45" s="12">
        <v>1.8</v>
      </c>
      <c r="S45" s="10"/>
      <c r="T45" s="11"/>
      <c r="U45" s="11">
        <v>18.46</v>
      </c>
      <c r="V45" s="12">
        <v>12.4</v>
      </c>
      <c r="X45" s="1">
        <v>59</v>
      </c>
      <c r="Y45" s="9">
        <f t="shared" si="0"/>
        <v>8.2539999999999996</v>
      </c>
      <c r="Z45" s="9">
        <f t="shared" si="0"/>
        <v>5.9319999999999995</v>
      </c>
      <c r="AA45" s="1">
        <v>59</v>
      </c>
      <c r="AB45" s="9">
        <f t="shared" si="1"/>
        <v>1.4700000000000002</v>
      </c>
      <c r="AC45" s="9">
        <f t="shared" si="1"/>
        <v>1.1020000000000001</v>
      </c>
      <c r="AD45" s="1">
        <v>59</v>
      </c>
      <c r="AE45" s="9">
        <f t="shared" si="2"/>
        <v>1.1183999999999998</v>
      </c>
      <c r="AF45" s="9">
        <f t="shared" si="2"/>
        <v>0.43440000000000001</v>
      </c>
      <c r="AG45" s="1">
        <v>59</v>
      </c>
      <c r="AH45" s="9">
        <f t="shared" si="3"/>
        <v>2.4464000000000001</v>
      </c>
      <c r="AI45" s="9">
        <f t="shared" si="3"/>
        <v>1.1328</v>
      </c>
      <c r="AJ45" s="1">
        <v>59</v>
      </c>
      <c r="AK45" s="9">
        <f t="shared" si="4"/>
        <v>18.46</v>
      </c>
      <c r="AL45" s="9">
        <f t="shared" si="4"/>
        <v>12.4</v>
      </c>
      <c r="AM45" s="14"/>
    </row>
    <row r="46" spans="2:39" ht="15" x14ac:dyDescent="0.25">
      <c r="B46" s="1">
        <v>60</v>
      </c>
      <c r="C46" s="9">
        <v>8.11</v>
      </c>
      <c r="D46" s="9">
        <v>5.71</v>
      </c>
      <c r="E46" s="9">
        <v>11.05</v>
      </c>
      <c r="F46" s="9">
        <v>7.96</v>
      </c>
      <c r="G46" s="10">
        <v>1.22</v>
      </c>
      <c r="H46" s="11">
        <v>0.86</v>
      </c>
      <c r="I46" s="11">
        <v>2.31</v>
      </c>
      <c r="J46" s="12">
        <v>1.82</v>
      </c>
      <c r="K46" s="10">
        <v>1.64</v>
      </c>
      <c r="L46" s="11">
        <v>0.4</v>
      </c>
      <c r="M46" s="11"/>
      <c r="N46" s="12"/>
      <c r="O46" s="10">
        <v>2.5299999999999998</v>
      </c>
      <c r="P46" s="11">
        <v>1.07</v>
      </c>
      <c r="Q46" s="11">
        <v>3.42</v>
      </c>
      <c r="R46" s="12">
        <v>1.57</v>
      </c>
      <c r="S46" s="10"/>
      <c r="T46" s="11"/>
      <c r="U46" s="11">
        <v>19.77</v>
      </c>
      <c r="V46" s="12">
        <v>13.1</v>
      </c>
      <c r="X46" s="1">
        <v>60</v>
      </c>
      <c r="Y46" s="9">
        <f t="shared" si="0"/>
        <v>9.2860000000000014</v>
      </c>
      <c r="Z46" s="9">
        <f t="shared" si="0"/>
        <v>6.6099999999999994</v>
      </c>
      <c r="AA46" s="1">
        <v>60</v>
      </c>
      <c r="AB46" s="9">
        <f t="shared" si="1"/>
        <v>1.6560000000000001</v>
      </c>
      <c r="AC46" s="9">
        <f t="shared" si="1"/>
        <v>1.2440000000000002</v>
      </c>
      <c r="AD46" s="1">
        <v>60</v>
      </c>
      <c r="AE46" s="9">
        <f t="shared" si="2"/>
        <v>1.1903999999999999</v>
      </c>
      <c r="AF46" s="9">
        <f t="shared" si="2"/>
        <v>0.44640000000000002</v>
      </c>
      <c r="AG46" s="1">
        <v>60</v>
      </c>
      <c r="AH46" s="9">
        <f t="shared" si="3"/>
        <v>2.3088000000000002</v>
      </c>
      <c r="AI46" s="9">
        <f t="shared" si="3"/>
        <v>1.016</v>
      </c>
      <c r="AJ46" s="1">
        <v>60</v>
      </c>
      <c r="AK46" s="9">
        <f t="shared" si="4"/>
        <v>19.77</v>
      </c>
      <c r="AL46" s="9">
        <f t="shared" si="4"/>
        <v>13.1</v>
      </c>
      <c r="AM46" s="14"/>
    </row>
    <row r="47" spans="2:39" ht="15" x14ac:dyDescent="0.25">
      <c r="B47" s="1">
        <v>61</v>
      </c>
      <c r="C47" s="9">
        <v>9.1199999999999992</v>
      </c>
      <c r="D47" s="9">
        <v>6.44</v>
      </c>
      <c r="E47" s="9">
        <v>12.45</v>
      </c>
      <c r="F47" s="9">
        <v>8.7799999999999994</v>
      </c>
      <c r="G47" s="10">
        <v>1.37</v>
      </c>
      <c r="H47" s="11">
        <v>0.97</v>
      </c>
      <c r="I47" s="11">
        <v>2.4300000000000002</v>
      </c>
      <c r="J47" s="12">
        <v>1.91</v>
      </c>
      <c r="K47" s="10">
        <v>1.78</v>
      </c>
      <c r="L47" s="11">
        <v>0.42</v>
      </c>
      <c r="M47" s="11"/>
      <c r="N47" s="12"/>
      <c r="O47" s="10">
        <v>2.37</v>
      </c>
      <c r="P47" s="11">
        <v>0.97</v>
      </c>
      <c r="Q47" s="11">
        <v>3.12</v>
      </c>
      <c r="R47" s="12">
        <v>1.37</v>
      </c>
      <c r="S47" s="10"/>
      <c r="T47" s="11"/>
      <c r="U47" s="11">
        <v>21.15</v>
      </c>
      <c r="V47" s="12">
        <v>13.88</v>
      </c>
      <c r="X47" s="1">
        <v>61</v>
      </c>
      <c r="Y47" s="9">
        <f t="shared" si="0"/>
        <v>10.452</v>
      </c>
      <c r="Z47" s="9">
        <f t="shared" si="0"/>
        <v>7.3759999999999994</v>
      </c>
      <c r="AA47" s="1">
        <v>61</v>
      </c>
      <c r="AB47" s="9">
        <f t="shared" si="1"/>
        <v>1.794</v>
      </c>
      <c r="AC47" s="9">
        <f t="shared" si="1"/>
        <v>1.3460000000000001</v>
      </c>
      <c r="AD47" s="1">
        <v>61</v>
      </c>
      <c r="AE47" s="9">
        <f t="shared" si="2"/>
        <v>1.2744</v>
      </c>
      <c r="AF47" s="9">
        <f t="shared" si="2"/>
        <v>0.45840000000000003</v>
      </c>
      <c r="AG47" s="1">
        <v>61</v>
      </c>
      <c r="AH47" s="9">
        <f t="shared" si="3"/>
        <v>2.1360000000000001</v>
      </c>
      <c r="AI47" s="9">
        <f t="shared" si="3"/>
        <v>0.90399999999999991</v>
      </c>
      <c r="AJ47" s="1">
        <v>61</v>
      </c>
      <c r="AK47" s="9">
        <f t="shared" si="4"/>
        <v>21.15</v>
      </c>
      <c r="AL47" s="9">
        <f t="shared" si="4"/>
        <v>13.88</v>
      </c>
      <c r="AM47" s="14"/>
    </row>
    <row r="48" spans="2:39" ht="15" x14ac:dyDescent="0.25">
      <c r="B48" s="1">
        <v>62</v>
      </c>
      <c r="C48" s="9">
        <v>10.25</v>
      </c>
      <c r="D48" s="9">
        <v>7.25</v>
      </c>
      <c r="E48" s="9">
        <v>13.92</v>
      </c>
      <c r="F48" s="9">
        <v>9.6199999999999992</v>
      </c>
      <c r="G48" s="10">
        <v>1.54</v>
      </c>
      <c r="H48" s="11">
        <v>1.0900000000000001</v>
      </c>
      <c r="I48" s="11">
        <v>2.5499999999999998</v>
      </c>
      <c r="J48" s="12">
        <v>2.0099999999999998</v>
      </c>
      <c r="K48" s="10">
        <v>1.94</v>
      </c>
      <c r="L48" s="11">
        <v>0.44</v>
      </c>
      <c r="M48" s="11"/>
      <c r="N48" s="12"/>
      <c r="O48" s="10">
        <v>2.17</v>
      </c>
      <c r="P48" s="11">
        <v>0.96</v>
      </c>
      <c r="Q48" s="11">
        <v>2.85</v>
      </c>
      <c r="R48" s="12">
        <v>1.29</v>
      </c>
      <c r="S48" s="10"/>
      <c r="T48" s="11"/>
      <c r="U48" s="11">
        <v>22.66</v>
      </c>
      <c r="V48" s="12">
        <v>14.82</v>
      </c>
      <c r="X48" s="1">
        <v>62</v>
      </c>
      <c r="Y48" s="9">
        <f t="shared" si="0"/>
        <v>11.718</v>
      </c>
      <c r="Z48" s="9">
        <f t="shared" si="0"/>
        <v>8.1980000000000004</v>
      </c>
      <c r="AA48" s="1">
        <v>62</v>
      </c>
      <c r="AB48" s="9">
        <f t="shared" si="1"/>
        <v>1.944</v>
      </c>
      <c r="AC48" s="9">
        <f t="shared" si="1"/>
        <v>1.458</v>
      </c>
      <c r="AD48" s="1">
        <v>62</v>
      </c>
      <c r="AE48" s="9">
        <f t="shared" si="2"/>
        <v>1.3704000000000001</v>
      </c>
      <c r="AF48" s="9">
        <f t="shared" si="2"/>
        <v>0.47040000000000004</v>
      </c>
      <c r="AG48" s="1">
        <v>62</v>
      </c>
      <c r="AH48" s="9">
        <f t="shared" si="3"/>
        <v>1.9536000000000002</v>
      </c>
      <c r="AI48" s="9">
        <f t="shared" si="3"/>
        <v>0.87360000000000015</v>
      </c>
      <c r="AJ48" s="1">
        <v>62</v>
      </c>
      <c r="AK48" s="9">
        <f t="shared" si="4"/>
        <v>22.66</v>
      </c>
      <c r="AL48" s="9">
        <f t="shared" si="4"/>
        <v>14.82</v>
      </c>
      <c r="AM48" s="14"/>
    </row>
    <row r="49" spans="2:39" ht="15" x14ac:dyDescent="0.25">
      <c r="B49" s="1">
        <v>63</v>
      </c>
      <c r="C49" s="9">
        <v>11.53</v>
      </c>
      <c r="D49" s="9">
        <v>8.17</v>
      </c>
      <c r="E49" s="9">
        <v>15.48</v>
      </c>
      <c r="F49" s="9">
        <v>10.5</v>
      </c>
      <c r="G49" s="10">
        <v>1.73</v>
      </c>
      <c r="H49" s="11">
        <v>1.23</v>
      </c>
      <c r="I49" s="11">
        <v>2.68</v>
      </c>
      <c r="J49" s="12">
        <v>2.11</v>
      </c>
      <c r="K49" s="10">
        <v>2.11</v>
      </c>
      <c r="L49" s="11">
        <v>0.47</v>
      </c>
      <c r="M49" s="11"/>
      <c r="N49" s="12"/>
      <c r="O49" s="10">
        <v>1.9</v>
      </c>
      <c r="P49" s="11">
        <v>0.98</v>
      </c>
      <c r="Q49" s="11">
        <v>2.66</v>
      </c>
      <c r="R49" s="12">
        <v>1.07</v>
      </c>
      <c r="S49" s="10"/>
      <c r="T49" s="11"/>
      <c r="U49" s="11">
        <v>24.3</v>
      </c>
      <c r="V49" s="12">
        <v>16.04</v>
      </c>
      <c r="X49" s="1">
        <v>63</v>
      </c>
      <c r="Y49" s="9">
        <f t="shared" si="0"/>
        <v>13.11</v>
      </c>
      <c r="Z49" s="9">
        <f t="shared" si="0"/>
        <v>9.1020000000000003</v>
      </c>
      <c r="AA49" s="1">
        <v>63</v>
      </c>
      <c r="AB49" s="9">
        <f t="shared" si="1"/>
        <v>2.1100000000000003</v>
      </c>
      <c r="AC49" s="9">
        <f t="shared" si="1"/>
        <v>1.5819999999999999</v>
      </c>
      <c r="AD49" s="1">
        <v>63</v>
      </c>
      <c r="AE49" s="9">
        <f t="shared" si="2"/>
        <v>1.4723999999999999</v>
      </c>
      <c r="AF49" s="9">
        <f t="shared" si="2"/>
        <v>0.4884</v>
      </c>
      <c r="AG49" s="1">
        <v>63</v>
      </c>
      <c r="AH49" s="9">
        <f t="shared" si="3"/>
        <v>1.7631999999999999</v>
      </c>
      <c r="AI49" s="9">
        <f t="shared" si="3"/>
        <v>0.81280000000000008</v>
      </c>
      <c r="AJ49" s="1">
        <v>63</v>
      </c>
      <c r="AK49" s="9">
        <f t="shared" si="4"/>
        <v>24.3</v>
      </c>
      <c r="AL49" s="9">
        <f t="shared" si="4"/>
        <v>16.04</v>
      </c>
      <c r="AM49" s="14"/>
    </row>
    <row r="50" spans="2:39" ht="15" x14ac:dyDescent="0.25">
      <c r="B50" s="1">
        <v>64</v>
      </c>
      <c r="C50" s="9">
        <v>12.96</v>
      </c>
      <c r="D50" s="9">
        <v>9.17</v>
      </c>
      <c r="E50" s="9">
        <v>17.13</v>
      </c>
      <c r="F50" s="9">
        <v>11.42</v>
      </c>
      <c r="G50" s="10">
        <v>1.94</v>
      </c>
      <c r="H50" s="11">
        <v>1.38</v>
      </c>
      <c r="I50" s="11">
        <v>2.81</v>
      </c>
      <c r="J50" s="12">
        <v>2.2200000000000002</v>
      </c>
      <c r="K50" s="10">
        <v>2.33</v>
      </c>
      <c r="L50" s="11">
        <v>0.52</v>
      </c>
      <c r="M50" s="11"/>
      <c r="N50" s="12"/>
      <c r="O50" s="10">
        <v>1.93</v>
      </c>
      <c r="P50" s="11">
        <v>1</v>
      </c>
      <c r="Q50" s="11">
        <v>2.54</v>
      </c>
      <c r="R50" s="12">
        <v>0.85</v>
      </c>
      <c r="S50" s="10"/>
      <c r="T50" s="11"/>
      <c r="U50" s="11">
        <v>26.17</v>
      </c>
      <c r="V50" s="12">
        <v>17.34</v>
      </c>
      <c r="X50" s="1">
        <v>64</v>
      </c>
      <c r="Y50" s="9">
        <f t="shared" si="0"/>
        <v>14.628</v>
      </c>
      <c r="Z50" s="9">
        <f t="shared" si="0"/>
        <v>10.07</v>
      </c>
      <c r="AA50" s="1">
        <v>64</v>
      </c>
      <c r="AB50" s="9">
        <f t="shared" si="1"/>
        <v>2.2880000000000003</v>
      </c>
      <c r="AC50" s="9">
        <f t="shared" si="1"/>
        <v>1.7160000000000002</v>
      </c>
      <c r="AD50" s="1">
        <v>64</v>
      </c>
      <c r="AE50" s="9">
        <f t="shared" si="2"/>
        <v>1.6044</v>
      </c>
      <c r="AF50" s="9">
        <f t="shared" si="2"/>
        <v>0.51839999999999997</v>
      </c>
      <c r="AG50" s="1">
        <v>64</v>
      </c>
      <c r="AH50" s="9">
        <f t="shared" si="3"/>
        <v>1.7392000000000001</v>
      </c>
      <c r="AI50" s="9">
        <f t="shared" si="3"/>
        <v>0.752</v>
      </c>
      <c r="AJ50" s="1">
        <v>64</v>
      </c>
      <c r="AK50" s="9">
        <f t="shared" si="4"/>
        <v>26.17</v>
      </c>
      <c r="AL50" s="9">
        <f t="shared" si="4"/>
        <v>17.34</v>
      </c>
      <c r="AM50" s="14"/>
    </row>
    <row r="51" spans="2:39" ht="15" x14ac:dyDescent="0.25">
      <c r="B51" s="1">
        <v>65</v>
      </c>
      <c r="C51" s="9">
        <v>14.46</v>
      </c>
      <c r="D51" s="9">
        <v>10.25</v>
      </c>
      <c r="E51" s="9">
        <v>18.829999999999998</v>
      </c>
      <c r="F51" s="9">
        <v>12.75</v>
      </c>
      <c r="G51" s="10">
        <v>2.17</v>
      </c>
      <c r="H51" s="11">
        <v>1.54</v>
      </c>
      <c r="I51" s="11">
        <v>3.13</v>
      </c>
      <c r="J51" s="12">
        <v>2.4700000000000002</v>
      </c>
      <c r="K51" s="10">
        <v>2.4500000000000002</v>
      </c>
      <c r="L51" s="11">
        <v>0.55000000000000004</v>
      </c>
      <c r="O51" s="10">
        <v>2.13</v>
      </c>
      <c r="P51" s="11">
        <v>1.02</v>
      </c>
      <c r="Q51" s="11">
        <v>2.48</v>
      </c>
      <c r="R51" s="12">
        <v>0.61</v>
      </c>
      <c r="S51" s="10"/>
      <c r="T51" s="11"/>
      <c r="U51" s="11">
        <v>28.27</v>
      </c>
      <c r="V51" s="12">
        <v>18.73</v>
      </c>
      <c r="X51" s="1">
        <v>65</v>
      </c>
      <c r="Y51" s="9">
        <f t="shared" si="0"/>
        <v>16.207999999999998</v>
      </c>
      <c r="Z51" s="9">
        <f t="shared" si="0"/>
        <v>11.25</v>
      </c>
      <c r="AA51" s="1">
        <v>65</v>
      </c>
      <c r="AB51" s="9">
        <f t="shared" si="1"/>
        <v>2.5539999999999998</v>
      </c>
      <c r="AC51" s="9">
        <f t="shared" si="1"/>
        <v>1.9119999999999999</v>
      </c>
      <c r="AD51" s="1">
        <v>65</v>
      </c>
      <c r="AE51" s="9">
        <f t="shared" si="2"/>
        <v>1.6764000000000001</v>
      </c>
      <c r="AF51" s="9">
        <f t="shared" si="2"/>
        <v>0.53639999999999999</v>
      </c>
      <c r="AG51" s="1">
        <v>65</v>
      </c>
      <c r="AH51" s="9">
        <f t="shared" si="3"/>
        <v>1.8159999999999998</v>
      </c>
      <c r="AI51" s="9">
        <f t="shared" si="3"/>
        <v>0.68480000000000008</v>
      </c>
      <c r="AJ51" s="1">
        <v>65</v>
      </c>
      <c r="AK51" s="9">
        <f t="shared" si="4"/>
        <v>28.27</v>
      </c>
      <c r="AL51" s="9">
        <f t="shared" si="4"/>
        <v>18.73</v>
      </c>
      <c r="AM51" s="14"/>
    </row>
    <row r="52" spans="2:39" ht="15" x14ac:dyDescent="0.25">
      <c r="B52" s="1">
        <v>66</v>
      </c>
      <c r="C52" s="9">
        <v>16.09</v>
      </c>
      <c r="D52" s="9">
        <v>11.4</v>
      </c>
      <c r="E52" s="9">
        <v>20.68</v>
      </c>
      <c r="F52" s="9">
        <v>14.16</v>
      </c>
      <c r="G52" s="10">
        <v>2.46</v>
      </c>
      <c r="H52" s="11">
        <v>1.74</v>
      </c>
      <c r="I52" s="11">
        <v>3.35</v>
      </c>
      <c r="J52" s="12">
        <v>2.64</v>
      </c>
      <c r="K52" s="10">
        <v>2.58</v>
      </c>
      <c r="L52" s="11">
        <v>0.61</v>
      </c>
      <c r="O52" s="10">
        <v>2.41</v>
      </c>
      <c r="P52" s="11">
        <v>1.06</v>
      </c>
      <c r="Q52" s="11">
        <v>2.54</v>
      </c>
      <c r="R52" s="12">
        <v>0.54</v>
      </c>
      <c r="S52" s="10"/>
      <c r="T52" s="11"/>
      <c r="U52" s="11">
        <v>30.71</v>
      </c>
      <c r="V52" s="12">
        <v>20.420000000000002</v>
      </c>
      <c r="X52" s="1">
        <v>66</v>
      </c>
      <c r="Y52" s="9">
        <f t="shared" si="0"/>
        <v>17.926000000000002</v>
      </c>
      <c r="Z52" s="9">
        <f t="shared" si="0"/>
        <v>12.504000000000001</v>
      </c>
      <c r="AA52" s="1">
        <v>66</v>
      </c>
      <c r="AB52" s="9">
        <f t="shared" si="1"/>
        <v>2.8159999999999998</v>
      </c>
      <c r="AC52" s="9">
        <f t="shared" si="1"/>
        <v>2.1</v>
      </c>
      <c r="AD52" s="1">
        <v>66</v>
      </c>
      <c r="AE52" s="19">
        <f t="shared" si="2"/>
        <v>1.7544</v>
      </c>
      <c r="AF52" s="19">
        <f t="shared" si="2"/>
        <v>0.57240000000000002</v>
      </c>
      <c r="AG52" s="1">
        <v>66</v>
      </c>
      <c r="AH52" s="9">
        <f t="shared" si="3"/>
        <v>1.9695999999999998</v>
      </c>
      <c r="AI52" s="9">
        <f t="shared" si="3"/>
        <v>0.68160000000000009</v>
      </c>
      <c r="AJ52" s="1">
        <v>66</v>
      </c>
      <c r="AK52" s="9">
        <f t="shared" si="4"/>
        <v>30.71</v>
      </c>
      <c r="AL52" s="9">
        <f t="shared" si="4"/>
        <v>20.420000000000002</v>
      </c>
    </row>
    <row r="53" spans="2:39" ht="15" x14ac:dyDescent="0.25">
      <c r="B53" s="1">
        <v>67</v>
      </c>
      <c r="C53" s="9">
        <v>17.84</v>
      </c>
      <c r="D53" s="9">
        <v>12.59</v>
      </c>
      <c r="E53" s="9">
        <v>22.66</v>
      </c>
      <c r="F53" s="9">
        <v>15.65</v>
      </c>
      <c r="G53" s="10">
        <v>2.79</v>
      </c>
      <c r="H53" s="11">
        <v>1.98</v>
      </c>
      <c r="I53" s="11">
        <v>3.62</v>
      </c>
      <c r="J53" s="12">
        <v>2.86</v>
      </c>
      <c r="K53" s="10">
        <v>2.71</v>
      </c>
      <c r="L53" s="11">
        <v>0.67</v>
      </c>
      <c r="O53" s="10">
        <v>2.69</v>
      </c>
      <c r="P53" s="11">
        <v>1.1000000000000001</v>
      </c>
      <c r="Q53" s="11">
        <v>2.66</v>
      </c>
      <c r="R53" s="12">
        <v>0.52</v>
      </c>
      <c r="S53" s="10"/>
      <c r="T53" s="11"/>
      <c r="U53" s="11">
        <v>33.44</v>
      </c>
      <c r="V53" s="12">
        <v>22.28</v>
      </c>
      <c r="X53" s="1">
        <v>67</v>
      </c>
      <c r="Y53" s="9">
        <f t="shared" si="0"/>
        <v>19.768000000000001</v>
      </c>
      <c r="Z53" s="9">
        <f t="shared" si="0"/>
        <v>13.814</v>
      </c>
      <c r="AA53" s="1">
        <v>67</v>
      </c>
      <c r="AB53" s="9">
        <f t="shared" si="1"/>
        <v>3.1219999999999999</v>
      </c>
      <c r="AC53" s="9">
        <f t="shared" si="1"/>
        <v>2.3319999999999999</v>
      </c>
      <c r="AD53" s="1">
        <v>67</v>
      </c>
      <c r="AE53" s="9">
        <f t="shared" si="2"/>
        <v>1.8323999999999998</v>
      </c>
      <c r="AF53" s="9">
        <f t="shared" si="2"/>
        <v>0.60840000000000005</v>
      </c>
      <c r="AG53" s="1">
        <v>67</v>
      </c>
      <c r="AH53" s="9">
        <f t="shared" si="3"/>
        <v>2.1423999999999999</v>
      </c>
      <c r="AI53" s="9">
        <f t="shared" si="3"/>
        <v>0.69440000000000013</v>
      </c>
      <c r="AJ53" s="1">
        <v>67</v>
      </c>
      <c r="AK53" s="9">
        <f t="shared" si="4"/>
        <v>33.44</v>
      </c>
      <c r="AL53" s="9">
        <f t="shared" si="4"/>
        <v>22.28</v>
      </c>
    </row>
    <row r="54" spans="2:39" ht="15" x14ac:dyDescent="0.25">
      <c r="B54" s="1">
        <v>68</v>
      </c>
      <c r="C54" s="9">
        <v>19.7</v>
      </c>
      <c r="D54" s="9">
        <v>13.81</v>
      </c>
      <c r="E54" s="9">
        <v>24.82</v>
      </c>
      <c r="F54" s="9">
        <v>17.23</v>
      </c>
      <c r="G54" s="10">
        <v>3.16</v>
      </c>
      <c r="H54" s="11">
        <v>2.2400000000000002</v>
      </c>
      <c r="I54" s="11">
        <v>3.96</v>
      </c>
      <c r="J54" s="12">
        <v>3.12</v>
      </c>
      <c r="K54" s="10">
        <v>2.84</v>
      </c>
      <c r="L54" s="11">
        <v>0.74</v>
      </c>
      <c r="O54" s="10">
        <v>2.97</v>
      </c>
      <c r="P54" s="11">
        <v>1.1399999999999999</v>
      </c>
      <c r="Q54" s="11">
        <v>2.87</v>
      </c>
      <c r="R54" s="12">
        <v>0.49</v>
      </c>
      <c r="S54" s="10"/>
      <c r="T54" s="11"/>
      <c r="U54" s="11">
        <v>36.369999999999997</v>
      </c>
      <c r="V54" s="12">
        <v>24.62</v>
      </c>
      <c r="X54" s="1">
        <v>68</v>
      </c>
      <c r="Y54" s="9">
        <f t="shared" si="0"/>
        <v>21.747999999999998</v>
      </c>
      <c r="Z54" s="9">
        <f t="shared" si="0"/>
        <v>15.178000000000001</v>
      </c>
      <c r="AA54" s="1">
        <v>68</v>
      </c>
      <c r="AB54" s="9">
        <f t="shared" si="1"/>
        <v>3.48</v>
      </c>
      <c r="AC54" s="9">
        <f t="shared" si="1"/>
        <v>2.5920000000000005</v>
      </c>
      <c r="AD54" s="1">
        <v>68</v>
      </c>
      <c r="AE54" s="9">
        <f t="shared" si="2"/>
        <v>1.9104000000000001</v>
      </c>
      <c r="AF54" s="9">
        <f t="shared" si="2"/>
        <v>0.65040000000000009</v>
      </c>
      <c r="AG54" s="1">
        <v>68</v>
      </c>
      <c r="AH54" s="9">
        <f t="shared" si="3"/>
        <v>2.3440000000000003</v>
      </c>
      <c r="AI54" s="9">
        <f t="shared" si="3"/>
        <v>0.70399999999999996</v>
      </c>
      <c r="AJ54" s="1">
        <v>68</v>
      </c>
      <c r="AK54" s="9">
        <f t="shared" si="4"/>
        <v>36.369999999999997</v>
      </c>
      <c r="AL54" s="9">
        <f t="shared" si="4"/>
        <v>24.62</v>
      </c>
    </row>
    <row r="55" spans="2:39" ht="15" x14ac:dyDescent="0.25">
      <c r="B55" s="1">
        <v>69</v>
      </c>
      <c r="C55" s="9">
        <v>21.69</v>
      </c>
      <c r="D55" s="9">
        <v>15.09</v>
      </c>
      <c r="E55" s="9">
        <v>27.16</v>
      </c>
      <c r="F55" s="9">
        <v>18.899999999999999</v>
      </c>
      <c r="G55" s="10">
        <v>3.59</v>
      </c>
      <c r="H55" s="11">
        <v>2.54</v>
      </c>
      <c r="I55" s="11">
        <v>4.37</v>
      </c>
      <c r="J55" s="12">
        <v>3.45</v>
      </c>
      <c r="K55" s="10">
        <v>2.98</v>
      </c>
      <c r="L55" s="11">
        <v>0.81</v>
      </c>
      <c r="O55" s="10">
        <v>3.25</v>
      </c>
      <c r="P55" s="11">
        <v>1.18</v>
      </c>
      <c r="Q55" s="11">
        <v>3.25</v>
      </c>
      <c r="R55" s="12">
        <v>0.51</v>
      </c>
      <c r="S55" s="10"/>
      <c r="T55" s="11"/>
      <c r="U55" s="11">
        <v>39.81</v>
      </c>
      <c r="V55" s="12">
        <v>27.25</v>
      </c>
      <c r="X55" s="1">
        <v>69</v>
      </c>
      <c r="Y55" s="9">
        <f t="shared" si="0"/>
        <v>23.878</v>
      </c>
      <c r="Z55" s="9">
        <f t="shared" si="0"/>
        <v>16.614000000000001</v>
      </c>
      <c r="AA55" s="1">
        <v>69</v>
      </c>
      <c r="AB55" s="9">
        <f t="shared" si="1"/>
        <v>3.9020000000000001</v>
      </c>
      <c r="AC55" s="9">
        <f t="shared" si="1"/>
        <v>2.9039999999999999</v>
      </c>
      <c r="AD55" s="1">
        <v>69</v>
      </c>
      <c r="AE55" s="9">
        <f t="shared" si="2"/>
        <v>1.9944000000000002</v>
      </c>
      <c r="AF55" s="9">
        <f t="shared" si="2"/>
        <v>0.69240000000000002</v>
      </c>
      <c r="AG55" s="1">
        <v>69</v>
      </c>
      <c r="AH55" s="9">
        <f t="shared" si="3"/>
        <v>2.6</v>
      </c>
      <c r="AI55" s="9">
        <f t="shared" si="3"/>
        <v>0.72960000000000003</v>
      </c>
      <c r="AJ55" s="1">
        <v>69</v>
      </c>
      <c r="AK55" s="9">
        <f t="shared" si="4"/>
        <v>39.81</v>
      </c>
      <c r="AL55" s="9">
        <f t="shared" si="4"/>
        <v>27.25</v>
      </c>
    </row>
    <row r="56" spans="2:39" ht="15" x14ac:dyDescent="0.25">
      <c r="B56" s="1">
        <v>70</v>
      </c>
      <c r="C56" s="9">
        <v>23.8</v>
      </c>
      <c r="D56" s="9">
        <v>16.47</v>
      </c>
      <c r="E56" s="9">
        <v>29.54</v>
      </c>
      <c r="F56" s="9">
        <v>21.01</v>
      </c>
      <c r="G56" s="10">
        <v>4.07</v>
      </c>
      <c r="H56" s="11">
        <v>2.88</v>
      </c>
      <c r="I56" s="11">
        <v>4.87</v>
      </c>
      <c r="J56" s="12">
        <v>3.84</v>
      </c>
      <c r="K56" s="10">
        <v>3.13</v>
      </c>
      <c r="L56" s="11">
        <v>0.89</v>
      </c>
      <c r="O56" s="10">
        <v>3.53</v>
      </c>
      <c r="P56" s="11">
        <v>1.23</v>
      </c>
      <c r="Q56" s="11">
        <v>3.97</v>
      </c>
      <c r="R56" s="12">
        <v>0.57999999999999996</v>
      </c>
      <c r="S56" s="10"/>
      <c r="T56" s="11"/>
      <c r="U56" s="11">
        <v>43.99</v>
      </c>
      <c r="V56" s="12">
        <v>30.2</v>
      </c>
      <c r="X56" s="1">
        <v>70</v>
      </c>
      <c r="Y56" s="9">
        <f t="shared" si="0"/>
        <v>26.096</v>
      </c>
      <c r="Z56" s="9">
        <f t="shared" si="0"/>
        <v>18.286000000000001</v>
      </c>
      <c r="AA56" s="1">
        <v>70</v>
      </c>
      <c r="AB56" s="9">
        <f t="shared" si="1"/>
        <v>4.3900000000000006</v>
      </c>
      <c r="AC56" s="9">
        <f t="shared" si="1"/>
        <v>3.2640000000000002</v>
      </c>
      <c r="AD56" s="1">
        <v>70</v>
      </c>
      <c r="AE56" s="9">
        <f t="shared" si="2"/>
        <v>2.0844</v>
      </c>
      <c r="AF56" s="9">
        <f t="shared" si="2"/>
        <v>0.74040000000000006</v>
      </c>
      <c r="AG56" s="1">
        <v>70</v>
      </c>
      <c r="AH56" s="9">
        <f t="shared" si="3"/>
        <v>2.9648000000000003</v>
      </c>
      <c r="AI56" s="9">
        <f t="shared" si="3"/>
        <v>0.77600000000000002</v>
      </c>
      <c r="AJ56" s="1">
        <v>70</v>
      </c>
      <c r="AK56" s="9">
        <f t="shared" si="4"/>
        <v>43.99</v>
      </c>
      <c r="AL56" s="9">
        <f t="shared" si="4"/>
        <v>30.2</v>
      </c>
    </row>
    <row r="57" spans="2:39" ht="15" x14ac:dyDescent="0.25">
      <c r="B57" s="1">
        <v>71</v>
      </c>
      <c r="C57" s="9">
        <v>25.44</v>
      </c>
      <c r="D57" s="9">
        <v>17.77</v>
      </c>
      <c r="E57" s="9">
        <v>32.19</v>
      </c>
      <c r="F57" s="9">
        <v>23.29</v>
      </c>
      <c r="G57" s="10">
        <v>4.6100000000000003</v>
      </c>
      <c r="H57" s="11">
        <v>3.27</v>
      </c>
      <c r="I57" s="11">
        <v>5.48</v>
      </c>
      <c r="J57" s="12">
        <v>4.32</v>
      </c>
      <c r="K57" s="10">
        <v>3.29</v>
      </c>
      <c r="L57" s="11">
        <v>0.98</v>
      </c>
      <c r="O57" s="10">
        <v>3.84</v>
      </c>
      <c r="P57" s="11">
        <v>1.3</v>
      </c>
      <c r="Q57" s="11">
        <v>4.8</v>
      </c>
      <c r="R57" s="12">
        <v>0.72</v>
      </c>
      <c r="S57" s="10"/>
      <c r="T57" s="11"/>
      <c r="U57" s="11">
        <v>48.75</v>
      </c>
      <c r="V57" s="12">
        <v>33.520000000000003</v>
      </c>
      <c r="X57" s="1">
        <v>71</v>
      </c>
      <c r="Y57" s="9">
        <f t="shared" si="0"/>
        <v>28.14</v>
      </c>
      <c r="Z57" s="9">
        <f t="shared" si="0"/>
        <v>19.978000000000002</v>
      </c>
      <c r="AA57" s="1">
        <v>71</v>
      </c>
      <c r="AB57" s="9">
        <f t="shared" si="1"/>
        <v>4.9580000000000002</v>
      </c>
      <c r="AC57" s="9">
        <f t="shared" si="1"/>
        <v>3.6900000000000004</v>
      </c>
      <c r="AD57" s="1">
        <v>71</v>
      </c>
      <c r="AE57" s="9">
        <f t="shared" si="2"/>
        <v>2.1804000000000001</v>
      </c>
      <c r="AF57" s="9">
        <f t="shared" si="2"/>
        <v>0.7944</v>
      </c>
      <c r="AG57" s="1">
        <v>71</v>
      </c>
      <c r="AH57" s="9">
        <f t="shared" si="3"/>
        <v>3.3792000000000004</v>
      </c>
      <c r="AI57" s="9">
        <f t="shared" si="3"/>
        <v>0.85440000000000005</v>
      </c>
      <c r="AJ57" s="1">
        <v>71</v>
      </c>
      <c r="AK57" s="9">
        <f t="shared" si="4"/>
        <v>48.75</v>
      </c>
      <c r="AL57" s="9">
        <f t="shared" si="4"/>
        <v>33.520000000000003</v>
      </c>
    </row>
    <row r="58" spans="2:39" ht="15" x14ac:dyDescent="0.25">
      <c r="B58" s="1">
        <v>72</v>
      </c>
      <c r="C58" s="9">
        <v>27.2</v>
      </c>
      <c r="D58" s="9">
        <v>19.25</v>
      </c>
      <c r="E58" s="9">
        <v>35.15</v>
      </c>
      <c r="F58" s="9">
        <v>25.78</v>
      </c>
      <c r="G58" s="10">
        <v>5.23</v>
      </c>
      <c r="H58" s="11">
        <v>3.71</v>
      </c>
      <c r="I58" s="11">
        <v>6.23</v>
      </c>
      <c r="J58" s="12">
        <v>4.91</v>
      </c>
      <c r="K58" s="10">
        <v>3.45</v>
      </c>
      <c r="L58" s="11">
        <v>1.08</v>
      </c>
      <c r="O58" s="10">
        <v>4.16</v>
      </c>
      <c r="P58" s="11">
        <v>1.36</v>
      </c>
      <c r="Q58" s="11">
        <v>5.73</v>
      </c>
      <c r="R58" s="12">
        <v>0.9</v>
      </c>
      <c r="S58" s="10"/>
      <c r="T58" s="11"/>
      <c r="U58" s="11">
        <v>54.17</v>
      </c>
      <c r="V58" s="12">
        <v>37.26</v>
      </c>
      <c r="X58" s="1">
        <v>72</v>
      </c>
      <c r="Y58" s="9">
        <f t="shared" si="0"/>
        <v>30.380000000000003</v>
      </c>
      <c r="Z58" s="9">
        <f t="shared" si="0"/>
        <v>21.862000000000002</v>
      </c>
      <c r="AA58" s="1">
        <v>72</v>
      </c>
      <c r="AB58" s="9">
        <f t="shared" si="1"/>
        <v>5.6300000000000008</v>
      </c>
      <c r="AC58" s="9">
        <f t="shared" si="1"/>
        <v>4.1900000000000004</v>
      </c>
      <c r="AD58" s="1">
        <v>72</v>
      </c>
      <c r="AE58" s="9">
        <f t="shared" si="2"/>
        <v>2.2763999999999998</v>
      </c>
      <c r="AF58" s="9">
        <f t="shared" si="2"/>
        <v>0.85440000000000005</v>
      </c>
      <c r="AG58" s="1">
        <v>72</v>
      </c>
      <c r="AH58" s="9">
        <f t="shared" si="3"/>
        <v>3.8304000000000005</v>
      </c>
      <c r="AI58" s="9">
        <f t="shared" si="3"/>
        <v>0.94080000000000019</v>
      </c>
      <c r="AJ58" s="1">
        <v>72</v>
      </c>
      <c r="AK58" s="9">
        <f t="shared" si="4"/>
        <v>54.17</v>
      </c>
      <c r="AL58" s="9">
        <f t="shared" si="4"/>
        <v>37.26</v>
      </c>
    </row>
    <row r="59" spans="2:39" ht="15" x14ac:dyDescent="0.25">
      <c r="B59" s="1">
        <v>73</v>
      </c>
      <c r="C59" s="9">
        <v>29.11</v>
      </c>
      <c r="D59" s="9">
        <v>20.89</v>
      </c>
      <c r="E59" s="9">
        <v>38.47</v>
      </c>
      <c r="F59" s="9">
        <v>28.49</v>
      </c>
      <c r="G59" s="10">
        <v>5.93</v>
      </c>
      <c r="H59" s="11">
        <v>4.2</v>
      </c>
      <c r="I59" s="11">
        <v>7.15</v>
      </c>
      <c r="J59" s="12">
        <v>5.63</v>
      </c>
      <c r="K59" s="10">
        <v>3.63</v>
      </c>
      <c r="L59" s="11">
        <v>1.19</v>
      </c>
      <c r="O59" s="10">
        <v>4.4400000000000004</v>
      </c>
      <c r="P59" s="11">
        <v>1.41</v>
      </c>
      <c r="Q59" s="11">
        <v>6.77</v>
      </c>
      <c r="R59" s="12">
        <v>1.1299999999999999</v>
      </c>
      <c r="S59" s="10"/>
      <c r="T59" s="11"/>
      <c r="U59" s="11">
        <v>60.27</v>
      </c>
      <c r="V59" s="12">
        <v>41.24</v>
      </c>
      <c r="X59" s="1">
        <v>73</v>
      </c>
      <c r="Y59" s="9">
        <f t="shared" si="0"/>
        <v>32.853999999999999</v>
      </c>
      <c r="Z59" s="9">
        <f t="shared" si="0"/>
        <v>23.93</v>
      </c>
      <c r="AA59" s="1">
        <v>73</v>
      </c>
      <c r="AB59" s="9">
        <f t="shared" si="1"/>
        <v>6.4180000000000001</v>
      </c>
      <c r="AC59" s="9">
        <f t="shared" si="1"/>
        <v>4.7720000000000002</v>
      </c>
      <c r="AD59" s="1">
        <v>73</v>
      </c>
      <c r="AE59" s="9">
        <f t="shared" si="2"/>
        <v>2.3843999999999999</v>
      </c>
      <c r="AF59" s="9">
        <f t="shared" si="2"/>
        <v>0.9204</v>
      </c>
      <c r="AG59" s="1">
        <v>73</v>
      </c>
      <c r="AH59" s="9">
        <f t="shared" si="3"/>
        <v>4.2976000000000001</v>
      </c>
      <c r="AI59" s="9">
        <f t="shared" si="3"/>
        <v>1.0384</v>
      </c>
      <c r="AJ59" s="1">
        <v>73</v>
      </c>
      <c r="AK59" s="9">
        <f t="shared" si="4"/>
        <v>60.27</v>
      </c>
      <c r="AL59" s="9">
        <f t="shared" si="4"/>
        <v>41.24</v>
      </c>
    </row>
    <row r="60" spans="2:39" ht="15" x14ac:dyDescent="0.25">
      <c r="B60" s="1">
        <v>74</v>
      </c>
      <c r="C60" s="9">
        <v>31.23</v>
      </c>
      <c r="D60" s="9">
        <v>22.8</v>
      </c>
      <c r="E60" s="9">
        <v>42.21</v>
      </c>
      <c r="F60" s="9">
        <v>31.45</v>
      </c>
      <c r="G60" s="10">
        <v>6.73</v>
      </c>
      <c r="H60" s="11">
        <v>4.7699999999999996</v>
      </c>
      <c r="I60" s="11">
        <v>8.2899999999999991</v>
      </c>
      <c r="J60" s="12">
        <v>6.53</v>
      </c>
      <c r="K60" s="10">
        <v>3.81</v>
      </c>
      <c r="L60" s="11">
        <v>1.3</v>
      </c>
      <c r="O60" s="10">
        <v>4.74</v>
      </c>
      <c r="P60" s="11">
        <v>1.47</v>
      </c>
      <c r="Q60" s="11">
        <v>7.89</v>
      </c>
      <c r="R60" s="12">
        <v>1.36</v>
      </c>
      <c r="S60" s="10"/>
      <c r="T60" s="11"/>
      <c r="U60" s="11">
        <v>67.349999999999994</v>
      </c>
      <c r="V60" s="12">
        <v>45.78</v>
      </c>
      <c r="X60" s="1">
        <v>74</v>
      </c>
      <c r="Y60" s="9">
        <f t="shared" si="0"/>
        <v>35.622</v>
      </c>
      <c r="Z60" s="9">
        <f t="shared" si="0"/>
        <v>26.259999999999998</v>
      </c>
      <c r="AA60" s="1">
        <v>74</v>
      </c>
      <c r="AB60" s="9">
        <f t="shared" si="1"/>
        <v>7.3540000000000001</v>
      </c>
      <c r="AC60" s="9">
        <f t="shared" si="1"/>
        <v>5.4740000000000002</v>
      </c>
      <c r="AD60" s="1">
        <v>74</v>
      </c>
      <c r="AE60" s="9">
        <f t="shared" si="2"/>
        <v>2.4923999999999999</v>
      </c>
      <c r="AF60" s="9">
        <f t="shared" si="2"/>
        <v>0.98640000000000005</v>
      </c>
      <c r="AG60" s="1">
        <v>74</v>
      </c>
      <c r="AH60" s="9">
        <f t="shared" si="3"/>
        <v>4.8000000000000007</v>
      </c>
      <c r="AI60" s="9">
        <f t="shared" si="3"/>
        <v>1.1408000000000003</v>
      </c>
      <c r="AJ60" s="1">
        <v>74</v>
      </c>
      <c r="AK60" s="9">
        <f t="shared" si="4"/>
        <v>67.349999999999994</v>
      </c>
      <c r="AL60" s="9">
        <f t="shared" si="4"/>
        <v>45.78</v>
      </c>
    </row>
    <row r="61" spans="2:39" ht="15" x14ac:dyDescent="0.25">
      <c r="B61" s="1">
        <v>75</v>
      </c>
      <c r="C61" s="9">
        <v>33.61</v>
      </c>
      <c r="D61" s="9">
        <v>24.99</v>
      </c>
      <c r="E61" s="9">
        <v>46.35</v>
      </c>
      <c r="F61" s="9">
        <v>34.479999999999997</v>
      </c>
      <c r="G61" s="10">
        <v>7.63</v>
      </c>
      <c r="H61" s="11">
        <v>5.41</v>
      </c>
      <c r="I61" s="11">
        <v>9.7100000000000009</v>
      </c>
      <c r="J61" s="12">
        <v>7.65</v>
      </c>
      <c r="K61" s="10">
        <v>4</v>
      </c>
      <c r="L61" s="11">
        <v>1.44</v>
      </c>
      <c r="O61" s="10">
        <v>5.04</v>
      </c>
      <c r="P61" s="11">
        <v>1.53</v>
      </c>
      <c r="Q61" s="11">
        <v>9.09</v>
      </c>
      <c r="R61" s="12">
        <v>1.69</v>
      </c>
      <c r="S61" s="10"/>
      <c r="T61" s="11"/>
      <c r="U61" s="11">
        <v>75.66</v>
      </c>
      <c r="V61" s="12">
        <v>51.09</v>
      </c>
      <c r="X61" s="1">
        <v>75</v>
      </c>
      <c r="Y61" s="9">
        <f t="shared" si="0"/>
        <v>38.706000000000003</v>
      </c>
      <c r="Z61" s="9">
        <f t="shared" si="0"/>
        <v>28.785999999999998</v>
      </c>
      <c r="AA61" s="1">
        <v>75</v>
      </c>
      <c r="AB61" s="9">
        <f t="shared" si="1"/>
        <v>8.4619999999999997</v>
      </c>
      <c r="AC61" s="9">
        <f t="shared" si="1"/>
        <v>6.3060000000000009</v>
      </c>
      <c r="AD61" s="1">
        <v>75</v>
      </c>
      <c r="AE61" s="9">
        <f t="shared" si="2"/>
        <v>2.6063999999999998</v>
      </c>
      <c r="AF61" s="9">
        <f t="shared" si="2"/>
        <v>1.0704</v>
      </c>
      <c r="AG61" s="1">
        <v>75</v>
      </c>
      <c r="AH61" s="9">
        <f t="shared" si="3"/>
        <v>5.3280000000000003</v>
      </c>
      <c r="AI61" s="9">
        <f t="shared" si="3"/>
        <v>1.2751999999999999</v>
      </c>
      <c r="AJ61" s="1">
        <v>75</v>
      </c>
      <c r="AK61" s="9">
        <f t="shared" si="4"/>
        <v>75.66</v>
      </c>
      <c r="AL61" s="9">
        <f t="shared" si="4"/>
        <v>51.09</v>
      </c>
    </row>
    <row r="62" spans="2:39" ht="15" x14ac:dyDescent="0.25">
      <c r="B62" s="1">
        <v>76</v>
      </c>
      <c r="C62" s="9">
        <v>36.28</v>
      </c>
      <c r="D62" s="9">
        <v>27.48</v>
      </c>
      <c r="E62" s="9">
        <v>51.17</v>
      </c>
      <c r="F62" s="9">
        <v>37.89</v>
      </c>
      <c r="G62" s="10">
        <v>8.65</v>
      </c>
      <c r="H62" s="11">
        <v>6.13</v>
      </c>
      <c r="I62" s="11">
        <v>11.49</v>
      </c>
      <c r="J62" s="12">
        <v>9.0500000000000007</v>
      </c>
      <c r="K62" s="10">
        <v>4.2</v>
      </c>
      <c r="L62" s="11">
        <v>1.58</v>
      </c>
      <c r="O62" s="10">
        <v>5.34</v>
      </c>
      <c r="P62" s="11">
        <v>1.59</v>
      </c>
      <c r="Q62" s="11">
        <v>11.11</v>
      </c>
      <c r="R62" s="12">
        <v>2.3199999999999998</v>
      </c>
      <c r="S62" s="10"/>
      <c r="T62" s="11"/>
      <c r="U62" s="11">
        <v>85.21</v>
      </c>
      <c r="V62" s="12">
        <v>57.52</v>
      </c>
      <c r="X62" s="1">
        <v>76</v>
      </c>
      <c r="Y62" s="9">
        <f t="shared" si="0"/>
        <v>42.236000000000004</v>
      </c>
      <c r="Z62" s="9">
        <f t="shared" si="0"/>
        <v>31.643999999999998</v>
      </c>
      <c r="AA62" s="1">
        <v>76</v>
      </c>
      <c r="AB62" s="9">
        <f t="shared" si="1"/>
        <v>9.7860000000000014</v>
      </c>
      <c r="AC62" s="9">
        <f t="shared" si="1"/>
        <v>7.298</v>
      </c>
      <c r="AD62" s="1">
        <v>76</v>
      </c>
      <c r="AE62" s="9">
        <f t="shared" si="2"/>
        <v>2.7263999999999999</v>
      </c>
      <c r="AF62" s="9">
        <f t="shared" si="2"/>
        <v>1.1543999999999999</v>
      </c>
      <c r="AG62" s="1">
        <v>76</v>
      </c>
      <c r="AH62" s="9">
        <f t="shared" si="3"/>
        <v>6.1184000000000003</v>
      </c>
      <c r="AI62" s="9">
        <f t="shared" si="3"/>
        <v>1.5056</v>
      </c>
      <c r="AJ62" s="1">
        <v>76</v>
      </c>
      <c r="AK62" s="9">
        <f t="shared" si="4"/>
        <v>85.21</v>
      </c>
      <c r="AL62" s="9">
        <f t="shared" si="4"/>
        <v>57.52</v>
      </c>
    </row>
    <row r="63" spans="2:39" ht="15" x14ac:dyDescent="0.25">
      <c r="B63" s="1">
        <v>77</v>
      </c>
      <c r="C63" s="9">
        <v>39.25</v>
      </c>
      <c r="D63" s="9">
        <v>30.3</v>
      </c>
      <c r="E63" s="9">
        <v>56.86</v>
      </c>
      <c r="F63" s="9">
        <v>41.75</v>
      </c>
      <c r="G63" s="10">
        <v>9.81</v>
      </c>
      <c r="H63" s="11">
        <v>7.57</v>
      </c>
      <c r="I63" s="11">
        <v>13.73</v>
      </c>
      <c r="J63" s="12">
        <v>10.81</v>
      </c>
      <c r="K63" s="10">
        <v>4.41</v>
      </c>
      <c r="L63" s="11">
        <v>1.74</v>
      </c>
      <c r="O63" s="10">
        <v>5.64</v>
      </c>
      <c r="P63" s="11">
        <v>1.65</v>
      </c>
      <c r="Q63" s="11">
        <v>13.16</v>
      </c>
      <c r="R63" s="12">
        <v>2.89</v>
      </c>
      <c r="S63" s="10"/>
      <c r="T63" s="11"/>
      <c r="U63" s="11">
        <v>89.5</v>
      </c>
      <c r="V63" s="12">
        <v>59.85</v>
      </c>
      <c r="X63" s="1">
        <v>77</v>
      </c>
      <c r="Y63" s="9">
        <f t="shared" si="0"/>
        <v>46.293999999999997</v>
      </c>
      <c r="Z63" s="9">
        <f t="shared" si="0"/>
        <v>34.879999999999995</v>
      </c>
      <c r="AA63" s="1">
        <v>77</v>
      </c>
      <c r="AB63" s="9">
        <f t="shared" si="1"/>
        <v>11.378</v>
      </c>
      <c r="AC63" s="9">
        <f t="shared" si="1"/>
        <v>8.8659999999999997</v>
      </c>
      <c r="AD63" s="1">
        <v>77</v>
      </c>
      <c r="AE63" s="9">
        <f t="shared" si="2"/>
        <v>2.8523999999999998</v>
      </c>
      <c r="AF63" s="9">
        <f t="shared" si="2"/>
        <v>1.2504</v>
      </c>
      <c r="AG63" s="1">
        <v>77</v>
      </c>
      <c r="AH63" s="9">
        <f t="shared" si="3"/>
        <v>6.9184000000000001</v>
      </c>
      <c r="AI63" s="9">
        <f t="shared" si="3"/>
        <v>1.7168000000000001</v>
      </c>
      <c r="AJ63" s="1">
        <v>77</v>
      </c>
      <c r="AK63" s="9">
        <f t="shared" si="4"/>
        <v>89.5</v>
      </c>
      <c r="AL63" s="9">
        <f t="shared" si="4"/>
        <v>59.85</v>
      </c>
    </row>
  </sheetData>
  <mergeCells count="15">
    <mergeCell ref="AE2:AF2"/>
    <mergeCell ref="AH2:AI2"/>
    <mergeCell ref="AK2:AL2"/>
    <mergeCell ref="O2:P2"/>
    <mergeCell ref="Q2:R2"/>
    <mergeCell ref="S2:T2"/>
    <mergeCell ref="U2:V2"/>
    <mergeCell ref="Y2:Z2"/>
    <mergeCell ref="AB2:AC2"/>
    <mergeCell ref="M2:N2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0954-6980-463D-B040-47A784854284}">
  <dimension ref="A1:G122"/>
  <sheetViews>
    <sheetView workbookViewId="0">
      <selection activeCell="G4" sqref="G4"/>
    </sheetView>
  </sheetViews>
  <sheetFormatPr defaultRowHeight="15" x14ac:dyDescent="0.25"/>
  <cols>
    <col min="1" max="1" width="4.140625" bestFit="1" customWidth="1"/>
    <col min="2" max="3" width="10.85546875" bestFit="1" customWidth="1"/>
    <col min="4" max="7" width="11.85546875" bestFit="1" customWidth="1"/>
  </cols>
  <sheetData>
    <row r="1" spans="1:7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25">
      <c r="A2" s="67">
        <v>0</v>
      </c>
      <c r="B2" s="68">
        <v>2.63E-3</v>
      </c>
      <c r="C2" s="68">
        <v>1.8799999999999999E-3</v>
      </c>
      <c r="D2" s="68"/>
      <c r="E2" s="68"/>
      <c r="F2" s="68"/>
      <c r="G2" s="68"/>
    </row>
    <row r="3" spans="1:7" x14ac:dyDescent="0.25">
      <c r="A3" s="67">
        <v>1</v>
      </c>
      <c r="B3" s="68">
        <v>1.0300000000000001E-3</v>
      </c>
      <c r="C3" s="68">
        <v>8.4000000000000003E-4</v>
      </c>
      <c r="D3" s="68"/>
      <c r="E3" s="68"/>
      <c r="F3" s="68"/>
      <c r="G3" s="68"/>
    </row>
    <row r="4" spans="1:7" x14ac:dyDescent="0.25">
      <c r="A4" s="67">
        <v>2</v>
      </c>
      <c r="B4" s="68">
        <v>9.8999999999999999E-4</v>
      </c>
      <c r="C4" s="68">
        <v>8.0000000000000004E-4</v>
      </c>
      <c r="D4" s="68"/>
      <c r="E4" s="68"/>
      <c r="F4" s="68"/>
      <c r="G4" s="68"/>
    </row>
    <row r="5" spans="1:7" x14ac:dyDescent="0.25">
      <c r="A5" s="67">
        <v>3</v>
      </c>
      <c r="B5" s="68">
        <v>9.7000000000000005E-4</v>
      </c>
      <c r="C5" s="68">
        <v>7.7999999999999999E-4</v>
      </c>
      <c r="D5" s="68"/>
      <c r="E5" s="68"/>
      <c r="F5" s="68"/>
      <c r="G5" s="68"/>
    </row>
    <row r="6" spans="1:7" x14ac:dyDescent="0.25">
      <c r="A6" s="67">
        <v>4</v>
      </c>
      <c r="B6" s="68">
        <v>9.3000000000000005E-4</v>
      </c>
      <c r="C6" s="68">
        <v>7.6999999999999996E-4</v>
      </c>
      <c r="D6" s="68"/>
      <c r="E6" s="68"/>
      <c r="F6" s="68"/>
      <c r="G6" s="68"/>
    </row>
    <row r="7" spans="1:7" x14ac:dyDescent="0.25">
      <c r="A7" s="67">
        <v>5</v>
      </c>
      <c r="B7" s="68">
        <v>8.8000000000000003E-4</v>
      </c>
      <c r="C7" s="68">
        <v>7.5000000000000002E-4</v>
      </c>
      <c r="D7" s="68"/>
      <c r="E7" s="68"/>
      <c r="F7" s="68"/>
      <c r="G7" s="68"/>
    </row>
    <row r="8" spans="1:7" x14ac:dyDescent="0.25">
      <c r="A8" s="67">
        <v>6</v>
      </c>
      <c r="B8" s="68">
        <v>8.3000000000000001E-4</v>
      </c>
      <c r="C8" s="68">
        <v>7.2999999999999996E-4</v>
      </c>
      <c r="D8" s="68"/>
      <c r="E8" s="68"/>
      <c r="F8" s="68"/>
      <c r="G8" s="68"/>
    </row>
    <row r="9" spans="1:7" x14ac:dyDescent="0.25">
      <c r="A9" s="67">
        <v>7</v>
      </c>
      <c r="B9" s="68">
        <v>7.7999999999999999E-4</v>
      </c>
      <c r="C9" s="68">
        <v>7.1000000000000002E-4</v>
      </c>
      <c r="D9" s="68"/>
      <c r="E9" s="68"/>
      <c r="F9" s="68"/>
      <c r="G9" s="68"/>
    </row>
    <row r="10" spans="1:7" x14ac:dyDescent="0.25">
      <c r="A10" s="67">
        <v>8</v>
      </c>
      <c r="B10" s="68">
        <v>7.5000000000000002E-4</v>
      </c>
      <c r="C10" s="68">
        <v>6.9999999999999999E-4</v>
      </c>
      <c r="D10" s="68"/>
      <c r="E10" s="68"/>
      <c r="F10" s="68"/>
      <c r="G10" s="68"/>
    </row>
    <row r="11" spans="1:7" x14ac:dyDescent="0.25">
      <c r="A11" s="67">
        <v>9</v>
      </c>
      <c r="B11" s="68">
        <v>7.3999999999999999E-4</v>
      </c>
      <c r="C11" s="68">
        <v>6.8999999999999997E-4</v>
      </c>
      <c r="D11" s="68"/>
      <c r="E11" s="68"/>
      <c r="F11" s="68"/>
      <c r="G11" s="68"/>
    </row>
    <row r="12" spans="1:7" x14ac:dyDescent="0.25">
      <c r="A12" s="67">
        <v>10</v>
      </c>
      <c r="B12" s="68">
        <v>7.5000000000000002E-4</v>
      </c>
      <c r="C12" s="68">
        <v>6.8000000000000005E-4</v>
      </c>
      <c r="D12" s="68"/>
      <c r="E12" s="68"/>
      <c r="F12" s="68"/>
      <c r="G12" s="68"/>
    </row>
    <row r="13" spans="1:7" x14ac:dyDescent="0.25">
      <c r="A13" s="67">
        <v>11</v>
      </c>
      <c r="B13" s="68">
        <v>8.0999999999999996E-4</v>
      </c>
      <c r="C13" s="68">
        <v>6.9999999999999999E-4</v>
      </c>
      <c r="D13" s="68"/>
      <c r="E13" s="68"/>
      <c r="F13" s="68"/>
      <c r="G13" s="68"/>
    </row>
    <row r="14" spans="1:7" x14ac:dyDescent="0.25">
      <c r="A14" s="67">
        <v>12</v>
      </c>
      <c r="B14" s="68">
        <v>9.2000000000000003E-4</v>
      </c>
      <c r="C14" s="68">
        <v>7.2999999999999996E-4</v>
      </c>
      <c r="D14" s="68"/>
      <c r="E14" s="68"/>
      <c r="F14" s="68"/>
      <c r="G14" s="68"/>
    </row>
    <row r="15" spans="1:7" x14ac:dyDescent="0.25">
      <c r="A15" s="67">
        <v>13</v>
      </c>
      <c r="B15" s="68">
        <v>1.07E-3</v>
      </c>
      <c r="C15" s="68">
        <v>7.6999999999999996E-4</v>
      </c>
      <c r="D15" s="68"/>
      <c r="E15" s="68"/>
      <c r="F15" s="68"/>
      <c r="G15" s="68"/>
    </row>
    <row r="16" spans="1:7" x14ac:dyDescent="0.25">
      <c r="A16" s="67">
        <v>14</v>
      </c>
      <c r="B16" s="68">
        <v>1.24E-3</v>
      </c>
      <c r="C16" s="68">
        <v>8.1999999999999998E-4</v>
      </c>
      <c r="D16" s="68"/>
      <c r="E16" s="68"/>
      <c r="F16" s="68"/>
      <c r="G16" s="68"/>
    </row>
    <row r="17" spans="1:7" x14ac:dyDescent="0.25">
      <c r="A17" s="67">
        <v>15</v>
      </c>
      <c r="B17" s="68">
        <v>1.42E-3</v>
      </c>
      <c r="C17" s="68">
        <v>8.7000000000000001E-4</v>
      </c>
      <c r="D17" s="68"/>
      <c r="E17" s="68"/>
      <c r="F17" s="68"/>
      <c r="G17" s="68"/>
    </row>
    <row r="18" spans="1:7" x14ac:dyDescent="0.25">
      <c r="A18" s="67">
        <v>16</v>
      </c>
      <c r="B18" s="68">
        <v>1.5900000000000001E-3</v>
      </c>
      <c r="C18" s="68">
        <v>9.2000000000000003E-4</v>
      </c>
      <c r="D18" s="68"/>
      <c r="E18" s="68"/>
      <c r="F18" s="68"/>
      <c r="G18" s="68"/>
    </row>
    <row r="19" spans="1:7" x14ac:dyDescent="0.25">
      <c r="A19" s="67">
        <v>17</v>
      </c>
      <c r="B19" s="68">
        <v>1.72E-3</v>
      </c>
      <c r="C19" s="68">
        <v>9.6000000000000002E-4</v>
      </c>
      <c r="D19" s="68"/>
      <c r="E19" s="68"/>
      <c r="F19" s="68"/>
      <c r="G19" s="68"/>
    </row>
    <row r="20" spans="1:7" x14ac:dyDescent="0.25">
      <c r="A20" s="67">
        <v>18</v>
      </c>
      <c r="B20" s="68">
        <v>1.82E-3</v>
      </c>
      <c r="C20" s="68">
        <v>1E-3</v>
      </c>
      <c r="D20" s="69">
        <v>0.76</v>
      </c>
      <c r="E20" s="69">
        <v>0.46</v>
      </c>
      <c r="F20" s="69">
        <v>0.7</v>
      </c>
      <c r="G20" s="69">
        <v>0.6</v>
      </c>
    </row>
    <row r="21" spans="1:7" x14ac:dyDescent="0.25">
      <c r="A21" s="67">
        <v>19</v>
      </c>
      <c r="B21" s="68">
        <v>1.8799999999999999E-3</v>
      </c>
      <c r="C21" s="68">
        <v>1.0300000000000001E-3</v>
      </c>
      <c r="D21" s="69">
        <v>0.77</v>
      </c>
      <c r="E21" s="69">
        <v>0.49</v>
      </c>
      <c r="F21" s="69">
        <v>0.71</v>
      </c>
      <c r="G21" s="69">
        <v>0.6</v>
      </c>
    </row>
    <row r="22" spans="1:7" x14ac:dyDescent="0.25">
      <c r="A22" s="67">
        <v>20</v>
      </c>
      <c r="B22" s="68">
        <v>1.9E-3</v>
      </c>
      <c r="C22" s="68">
        <v>1.06E-3</v>
      </c>
      <c r="D22" s="69">
        <v>0.79</v>
      </c>
      <c r="E22" s="69">
        <v>0.52</v>
      </c>
      <c r="F22" s="69">
        <v>0.73</v>
      </c>
      <c r="G22" s="69">
        <v>0.62</v>
      </c>
    </row>
    <row r="23" spans="1:7" x14ac:dyDescent="0.25">
      <c r="A23" s="67">
        <v>21</v>
      </c>
      <c r="B23" s="68">
        <v>1.9E-3</v>
      </c>
      <c r="C23" s="68">
        <v>1.08E-3</v>
      </c>
      <c r="D23" s="69">
        <v>0.8</v>
      </c>
      <c r="E23" s="69">
        <v>0.53</v>
      </c>
      <c r="F23" s="69">
        <v>0.75</v>
      </c>
      <c r="G23" s="69">
        <v>0.63</v>
      </c>
    </row>
    <row r="24" spans="1:7" x14ac:dyDescent="0.25">
      <c r="A24" s="67">
        <v>22</v>
      </c>
      <c r="B24" s="68">
        <v>1.8799999999999999E-3</v>
      </c>
      <c r="C24" s="68">
        <v>1.1000000000000001E-3</v>
      </c>
      <c r="D24" s="69">
        <v>0.8</v>
      </c>
      <c r="E24" s="69">
        <v>0.55000000000000004</v>
      </c>
      <c r="F24" s="69">
        <v>0.77</v>
      </c>
      <c r="G24" s="69">
        <v>0.65</v>
      </c>
    </row>
    <row r="25" spans="1:7" x14ac:dyDescent="0.25">
      <c r="A25" s="67">
        <v>23</v>
      </c>
      <c r="B25" s="68">
        <v>1.8400000000000001E-3</v>
      </c>
      <c r="C25" s="68">
        <v>1.1199999999999999E-3</v>
      </c>
      <c r="D25" s="69">
        <v>0.79</v>
      </c>
      <c r="E25" s="69">
        <v>0.59</v>
      </c>
      <c r="F25" s="69">
        <v>0.83</v>
      </c>
      <c r="G25" s="69">
        <v>0.7</v>
      </c>
    </row>
    <row r="26" spans="1:7" x14ac:dyDescent="0.25">
      <c r="A26" s="67">
        <v>24</v>
      </c>
      <c r="B26" s="68">
        <v>1.8E-3</v>
      </c>
      <c r="C26" s="68">
        <v>1.15E-3</v>
      </c>
      <c r="D26" s="69">
        <v>0.82</v>
      </c>
      <c r="E26" s="69">
        <v>0.62</v>
      </c>
      <c r="F26" s="69">
        <v>0.89</v>
      </c>
      <c r="G26" s="69">
        <v>0.75</v>
      </c>
    </row>
    <row r="27" spans="1:7" x14ac:dyDescent="0.25">
      <c r="A27" s="67">
        <v>25</v>
      </c>
      <c r="B27" s="68">
        <v>1.75E-3</v>
      </c>
      <c r="C27" s="68">
        <v>1.17E-3</v>
      </c>
      <c r="D27" s="69">
        <v>0.83</v>
      </c>
      <c r="E27" s="69">
        <v>0.62</v>
      </c>
      <c r="F27" s="69">
        <v>0.95</v>
      </c>
      <c r="G27" s="69">
        <v>0.78</v>
      </c>
    </row>
    <row r="28" spans="1:7" x14ac:dyDescent="0.25">
      <c r="A28" s="67">
        <v>26</v>
      </c>
      <c r="B28" s="68">
        <v>1.72E-3</v>
      </c>
      <c r="C28" s="68">
        <v>1.1999999999999999E-3</v>
      </c>
      <c r="D28" s="69">
        <v>0.84</v>
      </c>
      <c r="E28" s="69">
        <v>0.64</v>
      </c>
      <c r="F28" s="69">
        <v>1.01</v>
      </c>
      <c r="G28" s="69">
        <v>0.81</v>
      </c>
    </row>
    <row r="29" spans="1:7" x14ac:dyDescent="0.25">
      <c r="A29" s="67">
        <v>27</v>
      </c>
      <c r="B29" s="68">
        <v>1.7099999999999999E-3</v>
      </c>
      <c r="C29" s="68">
        <v>1.24E-3</v>
      </c>
      <c r="D29" s="69">
        <v>0.86</v>
      </c>
      <c r="E29" s="69">
        <v>0.65</v>
      </c>
      <c r="F29" s="69">
        <v>1.07</v>
      </c>
      <c r="G29" s="69">
        <v>0.84</v>
      </c>
    </row>
    <row r="30" spans="1:7" x14ac:dyDescent="0.25">
      <c r="A30" s="67">
        <v>28</v>
      </c>
      <c r="B30" s="68">
        <v>1.6999999999999999E-3</v>
      </c>
      <c r="C30" s="68">
        <v>1.2800000000000001E-3</v>
      </c>
      <c r="D30" s="69">
        <v>0.9</v>
      </c>
      <c r="E30" s="69">
        <v>0.67</v>
      </c>
      <c r="F30" s="69">
        <v>1.1000000000000001</v>
      </c>
      <c r="G30" s="69">
        <v>0.84</v>
      </c>
    </row>
    <row r="31" spans="1:7" x14ac:dyDescent="0.25">
      <c r="A31" s="67">
        <v>29</v>
      </c>
      <c r="B31" s="68">
        <v>1.72E-3</v>
      </c>
      <c r="C31" s="68">
        <v>1.32E-3</v>
      </c>
      <c r="D31" s="69">
        <v>0.9</v>
      </c>
      <c r="E31" s="69">
        <v>0.68</v>
      </c>
      <c r="F31" s="69">
        <v>1.1399999999999999</v>
      </c>
      <c r="G31" s="69">
        <v>0.85</v>
      </c>
    </row>
    <row r="32" spans="1:7" x14ac:dyDescent="0.25">
      <c r="A32" s="67">
        <v>30</v>
      </c>
      <c r="B32" s="68">
        <v>1.75E-3</v>
      </c>
      <c r="C32" s="68">
        <v>1.3699999999999999E-3</v>
      </c>
      <c r="D32" s="69">
        <v>0.92</v>
      </c>
      <c r="E32" s="69">
        <v>0.7</v>
      </c>
      <c r="F32" s="69">
        <v>1.21</v>
      </c>
      <c r="G32" s="69">
        <v>0.91</v>
      </c>
    </row>
    <row r="33" spans="1:7" x14ac:dyDescent="0.25">
      <c r="A33" s="67">
        <v>31</v>
      </c>
      <c r="B33" s="68">
        <v>1.8E-3</v>
      </c>
      <c r="C33" s="68">
        <v>1.42E-3</v>
      </c>
      <c r="D33" s="69">
        <v>0.98</v>
      </c>
      <c r="E33" s="69">
        <v>0.72</v>
      </c>
      <c r="F33" s="69">
        <v>1.27</v>
      </c>
      <c r="G33" s="69">
        <v>0.97</v>
      </c>
    </row>
    <row r="34" spans="1:7" x14ac:dyDescent="0.25">
      <c r="A34" s="67">
        <v>32</v>
      </c>
      <c r="B34" s="68">
        <v>1.8699999999999999E-3</v>
      </c>
      <c r="C34" s="68">
        <v>1.47E-3</v>
      </c>
      <c r="D34" s="69">
        <v>1.06</v>
      </c>
      <c r="E34" s="69">
        <v>0.72</v>
      </c>
      <c r="F34" s="69">
        <v>1.34</v>
      </c>
      <c r="G34" s="69">
        <v>1.03</v>
      </c>
    </row>
    <row r="35" spans="1:7" x14ac:dyDescent="0.25">
      <c r="A35" s="67">
        <v>33</v>
      </c>
      <c r="B35" s="68">
        <v>1.9499999999999999E-3</v>
      </c>
      <c r="C35" s="68">
        <v>1.5399999999999999E-3</v>
      </c>
      <c r="D35" s="69">
        <v>1.1299999999999999</v>
      </c>
      <c r="E35" s="69">
        <v>0.74</v>
      </c>
      <c r="F35" s="69">
        <v>1.4</v>
      </c>
      <c r="G35" s="69">
        <v>1.1000000000000001</v>
      </c>
    </row>
    <row r="36" spans="1:7" x14ac:dyDescent="0.25">
      <c r="A36" s="67">
        <v>34</v>
      </c>
      <c r="B36" s="68">
        <v>2.0500000000000002E-3</v>
      </c>
      <c r="C36" s="68">
        <v>1.6100000000000001E-3</v>
      </c>
      <c r="D36" s="69">
        <v>1.18</v>
      </c>
      <c r="E36" s="69">
        <v>0.74</v>
      </c>
      <c r="F36" s="69">
        <v>1.47</v>
      </c>
      <c r="G36" s="69">
        <v>1.1599999999999999</v>
      </c>
    </row>
    <row r="37" spans="1:7" x14ac:dyDescent="0.25">
      <c r="A37" s="67">
        <v>35</v>
      </c>
      <c r="B37" s="68">
        <v>2.1700000000000001E-3</v>
      </c>
      <c r="C37" s="68">
        <v>1.6999999999999999E-3</v>
      </c>
      <c r="D37" s="69">
        <v>1.26</v>
      </c>
      <c r="E37" s="69">
        <v>0.76</v>
      </c>
      <c r="F37" s="69">
        <v>1.61</v>
      </c>
      <c r="G37" s="69">
        <v>1.25</v>
      </c>
    </row>
    <row r="38" spans="1:7" x14ac:dyDescent="0.25">
      <c r="A38" s="67">
        <v>36</v>
      </c>
      <c r="B38" s="68">
        <v>2.32E-3</v>
      </c>
      <c r="C38" s="68">
        <v>1.82E-3</v>
      </c>
      <c r="D38" s="69">
        <v>1.33</v>
      </c>
      <c r="E38" s="69">
        <v>0.79</v>
      </c>
      <c r="F38" s="69">
        <v>1.75</v>
      </c>
      <c r="G38" s="69">
        <v>1.34</v>
      </c>
    </row>
    <row r="39" spans="1:7" x14ac:dyDescent="0.25">
      <c r="A39" s="67">
        <v>37</v>
      </c>
      <c r="B39" s="68">
        <v>2.49E-3</v>
      </c>
      <c r="C39" s="68">
        <v>1.9599999999999999E-3</v>
      </c>
      <c r="D39" s="69">
        <v>1.43</v>
      </c>
      <c r="E39" s="69">
        <v>0.83</v>
      </c>
      <c r="F39" s="69">
        <v>1.9</v>
      </c>
      <c r="G39" s="69">
        <v>1.43</v>
      </c>
    </row>
    <row r="40" spans="1:7" x14ac:dyDescent="0.25">
      <c r="A40" s="67">
        <v>38</v>
      </c>
      <c r="B40" s="68">
        <v>2.6800000000000001E-3</v>
      </c>
      <c r="C40" s="68">
        <v>2.1299999999999999E-3</v>
      </c>
      <c r="D40" s="69">
        <v>1.51</v>
      </c>
      <c r="E40" s="69">
        <v>0.86</v>
      </c>
      <c r="F40" s="69">
        <v>2.02</v>
      </c>
      <c r="G40" s="69">
        <v>1.51</v>
      </c>
    </row>
    <row r="41" spans="1:7" x14ac:dyDescent="0.25">
      <c r="A41" s="67">
        <v>39</v>
      </c>
      <c r="B41" s="68">
        <v>2.8999999999999998E-3</v>
      </c>
      <c r="C41" s="68">
        <v>2.32E-3</v>
      </c>
      <c r="D41" s="69">
        <v>1.6</v>
      </c>
      <c r="E41" s="69">
        <v>0.9</v>
      </c>
      <c r="F41" s="69">
        <v>2.14</v>
      </c>
      <c r="G41" s="69">
        <v>1.58</v>
      </c>
    </row>
    <row r="42" spans="1:7" x14ac:dyDescent="0.25">
      <c r="A42" s="67">
        <v>40</v>
      </c>
      <c r="B42" s="68">
        <v>3.15E-3</v>
      </c>
      <c r="C42" s="68">
        <v>2.5300000000000001E-3</v>
      </c>
      <c r="D42" s="69">
        <v>1.68</v>
      </c>
      <c r="E42" s="69">
        <v>0.96</v>
      </c>
      <c r="F42" s="69">
        <v>2.2599999999999998</v>
      </c>
      <c r="G42" s="69">
        <v>1.72</v>
      </c>
    </row>
    <row r="43" spans="1:7" x14ac:dyDescent="0.25">
      <c r="A43" s="67">
        <v>41</v>
      </c>
      <c r="B43" s="68">
        <v>3.4199999999999999E-3</v>
      </c>
      <c r="C43" s="68">
        <v>2.7499999999999998E-3</v>
      </c>
      <c r="D43" s="69">
        <v>1.74</v>
      </c>
      <c r="E43" s="69">
        <v>1.03</v>
      </c>
      <c r="F43" s="69">
        <v>2.39</v>
      </c>
      <c r="G43" s="69">
        <v>1.85</v>
      </c>
    </row>
    <row r="44" spans="1:7" x14ac:dyDescent="0.25">
      <c r="A44" s="67">
        <v>42</v>
      </c>
      <c r="B44" s="68">
        <v>3.7100000000000002E-3</v>
      </c>
      <c r="C44" s="68">
        <v>2.98E-3</v>
      </c>
      <c r="D44" s="69">
        <v>1.84</v>
      </c>
      <c r="E44" s="69">
        <v>1.1200000000000001</v>
      </c>
      <c r="F44" s="69">
        <v>2.5099999999999998</v>
      </c>
      <c r="G44" s="69">
        <v>1.98</v>
      </c>
    </row>
    <row r="45" spans="1:7" x14ac:dyDescent="0.25">
      <c r="A45" s="67">
        <v>43</v>
      </c>
      <c r="B45" s="68">
        <v>4.0299999999999997E-3</v>
      </c>
      <c r="C45" s="68">
        <v>3.2000000000000002E-3</v>
      </c>
      <c r="D45" s="69">
        <v>1.93</v>
      </c>
      <c r="E45" s="69">
        <v>1.19</v>
      </c>
      <c r="F45" s="69">
        <v>2.64</v>
      </c>
      <c r="G45" s="69">
        <v>2.11</v>
      </c>
    </row>
    <row r="46" spans="1:7" x14ac:dyDescent="0.25">
      <c r="A46" s="67">
        <v>44</v>
      </c>
      <c r="B46" s="68">
        <v>4.3699999999999998E-3</v>
      </c>
      <c r="C46" s="68">
        <v>3.4399999999999999E-3</v>
      </c>
      <c r="D46" s="69">
        <v>2.08</v>
      </c>
      <c r="E46" s="69">
        <v>1.3</v>
      </c>
      <c r="F46" s="69">
        <v>2.77</v>
      </c>
      <c r="G46" s="69">
        <v>2.25</v>
      </c>
    </row>
    <row r="47" spans="1:7" x14ac:dyDescent="0.25">
      <c r="A47" s="67">
        <v>45</v>
      </c>
      <c r="B47" s="68">
        <v>4.7299999999999998E-3</v>
      </c>
      <c r="C47" s="68">
        <v>3.6800000000000001E-3</v>
      </c>
      <c r="D47" s="69">
        <v>2.21</v>
      </c>
      <c r="E47" s="69">
        <v>1.4</v>
      </c>
      <c r="F47" s="69">
        <v>3.04</v>
      </c>
      <c r="G47" s="69">
        <v>2.38</v>
      </c>
    </row>
    <row r="48" spans="1:7" x14ac:dyDescent="0.25">
      <c r="A48" s="67">
        <v>46</v>
      </c>
      <c r="B48" s="68">
        <v>5.1200000000000004E-3</v>
      </c>
      <c r="C48" s="68">
        <v>3.9199999999999999E-3</v>
      </c>
      <c r="D48" s="69">
        <v>2.4</v>
      </c>
      <c r="E48" s="69">
        <v>1.51</v>
      </c>
      <c r="F48" s="69">
        <v>3.31</v>
      </c>
      <c r="G48" s="69">
        <v>2.52</v>
      </c>
    </row>
    <row r="49" spans="1:7" x14ac:dyDescent="0.25">
      <c r="A49" s="67">
        <v>47</v>
      </c>
      <c r="B49" s="68">
        <v>5.5300000000000002E-3</v>
      </c>
      <c r="C49" s="68">
        <v>4.1900000000000001E-3</v>
      </c>
      <c r="D49" s="69">
        <v>2.58</v>
      </c>
      <c r="E49" s="69">
        <v>1.63</v>
      </c>
      <c r="F49" s="69">
        <v>3.58</v>
      </c>
      <c r="G49" s="69">
        <v>2.65</v>
      </c>
    </row>
    <row r="50" spans="1:7" x14ac:dyDescent="0.25">
      <c r="A50" s="67">
        <v>48</v>
      </c>
      <c r="B50" s="68">
        <v>5.9699999999999996E-3</v>
      </c>
      <c r="C50" s="68">
        <v>4.4799999999999996E-3</v>
      </c>
      <c r="D50" s="69">
        <v>2.8</v>
      </c>
      <c r="E50" s="69">
        <v>1.79</v>
      </c>
      <c r="F50" s="69">
        <v>3.85</v>
      </c>
      <c r="G50" s="69">
        <v>2.79</v>
      </c>
    </row>
    <row r="51" spans="1:7" x14ac:dyDescent="0.25">
      <c r="A51" s="67">
        <v>49</v>
      </c>
      <c r="B51" s="68">
        <v>6.4599999999999996E-3</v>
      </c>
      <c r="C51" s="68">
        <v>4.79E-3</v>
      </c>
      <c r="D51" s="69">
        <v>3.02</v>
      </c>
      <c r="E51" s="69">
        <v>1.97</v>
      </c>
      <c r="F51" s="69">
        <v>4.13</v>
      </c>
      <c r="G51" s="69">
        <v>2.93</v>
      </c>
    </row>
    <row r="52" spans="1:7" x14ac:dyDescent="0.25">
      <c r="A52" s="67">
        <v>50</v>
      </c>
      <c r="B52" s="68">
        <v>7.0000000000000001E-3</v>
      </c>
      <c r="C52" s="68">
        <v>5.13E-3</v>
      </c>
      <c r="D52" s="69">
        <v>3.26</v>
      </c>
      <c r="E52" s="69">
        <v>2.15</v>
      </c>
      <c r="F52" s="69">
        <v>4.3899999999999997</v>
      </c>
      <c r="G52" s="69">
        <v>3.11</v>
      </c>
    </row>
    <row r="53" spans="1:7" x14ac:dyDescent="0.25">
      <c r="A53" s="67">
        <v>51</v>
      </c>
      <c r="B53" s="68">
        <v>7.6299999999999996E-3</v>
      </c>
      <c r="C53" s="68">
        <v>5.4999999999999997E-3</v>
      </c>
      <c r="D53" s="69">
        <v>3.54</v>
      </c>
      <c r="E53" s="69">
        <v>2.36</v>
      </c>
      <c r="F53" s="69">
        <v>4.6399999999999997</v>
      </c>
      <c r="G53" s="69">
        <v>3.3</v>
      </c>
    </row>
    <row r="54" spans="1:7" x14ac:dyDescent="0.25">
      <c r="A54" s="67">
        <v>52</v>
      </c>
      <c r="B54" s="68">
        <v>8.3300000000000006E-3</v>
      </c>
      <c r="C54" s="68">
        <v>5.9199999999999999E-3</v>
      </c>
      <c r="D54" s="69">
        <v>3.86</v>
      </c>
      <c r="E54" s="69">
        <v>2.57</v>
      </c>
      <c r="F54" s="69">
        <v>4.9000000000000004</v>
      </c>
      <c r="G54" s="69">
        <v>3.49</v>
      </c>
    </row>
    <row r="55" spans="1:7" x14ac:dyDescent="0.25">
      <c r="A55" s="67">
        <v>53</v>
      </c>
      <c r="B55" s="68">
        <v>9.1299999999999992E-3</v>
      </c>
      <c r="C55" s="68">
        <v>6.3800000000000003E-3</v>
      </c>
      <c r="D55" s="69">
        <v>4.2</v>
      </c>
      <c r="E55" s="69">
        <v>2.83</v>
      </c>
      <c r="F55" s="69">
        <v>5.2</v>
      </c>
      <c r="G55" s="69">
        <v>3.7</v>
      </c>
    </row>
    <row r="56" spans="1:7" x14ac:dyDescent="0.25">
      <c r="A56" s="67">
        <v>54</v>
      </c>
      <c r="B56" s="68">
        <v>1.001E-2</v>
      </c>
      <c r="C56" s="68">
        <v>6.8500000000000002E-3</v>
      </c>
      <c r="D56" s="69">
        <v>4.55</v>
      </c>
      <c r="E56" s="69">
        <v>3.1</v>
      </c>
      <c r="F56" s="69">
        <v>5.51</v>
      </c>
      <c r="G56" s="69">
        <v>3.93</v>
      </c>
    </row>
    <row r="57" spans="1:7" x14ac:dyDescent="0.25">
      <c r="A57" s="67">
        <v>55</v>
      </c>
      <c r="B57" s="68">
        <v>1.0959999999999999E-2</v>
      </c>
      <c r="C57" s="68">
        <v>7.3299999999999997E-3</v>
      </c>
      <c r="D57" s="69">
        <v>4.97</v>
      </c>
      <c r="E57" s="69">
        <v>3.4</v>
      </c>
      <c r="F57" s="69">
        <v>6.29</v>
      </c>
      <c r="G57" s="69">
        <v>4.54</v>
      </c>
    </row>
    <row r="58" spans="1:7" x14ac:dyDescent="0.25">
      <c r="A58" s="67">
        <v>56</v>
      </c>
      <c r="B58" s="68">
        <v>1.197E-2</v>
      </c>
      <c r="C58" s="68">
        <v>7.7999999999999996E-3</v>
      </c>
      <c r="D58" s="69">
        <v>5.42</v>
      </c>
      <c r="E58" s="69">
        <v>3.74</v>
      </c>
      <c r="F58" s="69">
        <v>7.1</v>
      </c>
      <c r="G58" s="69">
        <v>5.17</v>
      </c>
    </row>
    <row r="59" spans="1:7" x14ac:dyDescent="0.25">
      <c r="A59" s="67">
        <v>57</v>
      </c>
      <c r="B59" s="68">
        <v>1.304E-2</v>
      </c>
      <c r="C59" s="68">
        <v>8.2500000000000004E-3</v>
      </c>
      <c r="D59" s="69">
        <v>5.94</v>
      </c>
      <c r="E59" s="69">
        <v>4.13</v>
      </c>
      <c r="F59" s="69">
        <v>7.94</v>
      </c>
      <c r="G59" s="69">
        <v>5.82</v>
      </c>
    </row>
    <row r="60" spans="1:7" x14ac:dyDescent="0.25">
      <c r="A60" s="67">
        <v>58</v>
      </c>
      <c r="B60" s="68">
        <v>1.418E-2</v>
      </c>
      <c r="C60" s="68">
        <v>8.6999999999999994E-3</v>
      </c>
      <c r="D60" s="69">
        <v>6.59</v>
      </c>
      <c r="E60" s="69">
        <v>4.58</v>
      </c>
      <c r="F60" s="69">
        <v>8.82</v>
      </c>
      <c r="G60" s="69">
        <v>6.49</v>
      </c>
    </row>
    <row r="61" spans="1:7" x14ac:dyDescent="0.25">
      <c r="A61" s="67">
        <v>59</v>
      </c>
      <c r="B61" s="68">
        <v>1.542E-2</v>
      </c>
      <c r="C61" s="68">
        <v>9.1999999999999998E-3</v>
      </c>
      <c r="D61" s="69">
        <v>7.27</v>
      </c>
      <c r="E61" s="69">
        <v>5.0999999999999996</v>
      </c>
      <c r="F61" s="69">
        <v>9.73</v>
      </c>
      <c r="G61" s="69">
        <v>7.18</v>
      </c>
    </row>
    <row r="62" spans="1:7" x14ac:dyDescent="0.25">
      <c r="A62" s="67">
        <v>60</v>
      </c>
      <c r="B62" s="68">
        <v>1.6799999999999999E-2</v>
      </c>
      <c r="C62" s="68">
        <v>9.7999999999999997E-3</v>
      </c>
      <c r="D62" s="69">
        <v>8.11</v>
      </c>
      <c r="E62" s="69">
        <v>5.71</v>
      </c>
      <c r="F62" s="69">
        <v>11.05</v>
      </c>
      <c r="G62" s="69">
        <v>7.96</v>
      </c>
    </row>
    <row r="63" spans="1:7" x14ac:dyDescent="0.25">
      <c r="A63" s="67">
        <v>61</v>
      </c>
      <c r="B63" s="68">
        <v>1.8360000000000001E-2</v>
      </c>
      <c r="C63" s="68">
        <v>1.0540000000000001E-2</v>
      </c>
      <c r="D63" s="69">
        <v>9.1199999999999992</v>
      </c>
      <c r="E63" s="69">
        <v>6.44</v>
      </c>
      <c r="F63" s="69">
        <v>12.45</v>
      </c>
      <c r="G63" s="69">
        <v>8.7799999999999994</v>
      </c>
    </row>
    <row r="64" spans="1:7" x14ac:dyDescent="0.25">
      <c r="A64" s="67">
        <v>62</v>
      </c>
      <c r="B64" s="68">
        <v>2.0119999999999999E-2</v>
      </c>
      <c r="C64" s="68">
        <v>1.149E-2</v>
      </c>
      <c r="D64" s="69">
        <v>10.25</v>
      </c>
      <c r="E64" s="69">
        <v>7.25</v>
      </c>
      <c r="F64" s="69">
        <v>13.92</v>
      </c>
      <c r="G64" s="69">
        <v>9.6199999999999992</v>
      </c>
    </row>
    <row r="65" spans="1:7" x14ac:dyDescent="0.25">
      <c r="A65" s="67">
        <v>63</v>
      </c>
      <c r="B65" s="68">
        <v>2.2089999999999999E-2</v>
      </c>
      <c r="C65" s="68">
        <v>1.2630000000000001E-2</v>
      </c>
      <c r="D65" s="69">
        <v>11.53</v>
      </c>
      <c r="E65" s="69">
        <v>8.17</v>
      </c>
      <c r="F65" s="69">
        <v>15.48</v>
      </c>
      <c r="G65" s="69">
        <v>10.5</v>
      </c>
    </row>
    <row r="66" spans="1:7" x14ac:dyDescent="0.25">
      <c r="A66" s="67">
        <v>64</v>
      </c>
      <c r="B66" s="68">
        <v>2.427E-2</v>
      </c>
      <c r="C66" s="68">
        <v>1.392E-2</v>
      </c>
      <c r="D66" s="69">
        <v>12.96</v>
      </c>
      <c r="E66" s="69">
        <v>9.17</v>
      </c>
      <c r="F66" s="69">
        <v>17.13</v>
      </c>
      <c r="G66" s="69">
        <v>11.42</v>
      </c>
    </row>
    <row r="67" spans="1:7" x14ac:dyDescent="0.25">
      <c r="A67" s="67">
        <v>65</v>
      </c>
      <c r="B67" s="68">
        <v>2.6620000000000001E-2</v>
      </c>
      <c r="C67" s="68">
        <v>1.529E-2</v>
      </c>
      <c r="D67" s="69">
        <v>14.46</v>
      </c>
      <c r="E67" s="69">
        <v>10.25</v>
      </c>
      <c r="F67" s="69">
        <v>18.829999999999998</v>
      </c>
      <c r="G67" s="69">
        <v>12.75</v>
      </c>
    </row>
    <row r="68" spans="1:7" x14ac:dyDescent="0.25">
      <c r="A68" s="67">
        <v>66</v>
      </c>
      <c r="B68" s="68">
        <v>2.913E-2</v>
      </c>
      <c r="C68" s="68">
        <v>1.6709999999999999E-2</v>
      </c>
      <c r="D68" s="69">
        <v>16.09</v>
      </c>
      <c r="E68" s="69">
        <v>11.4</v>
      </c>
      <c r="F68" s="69">
        <v>20.68</v>
      </c>
      <c r="G68" s="69">
        <v>14.16</v>
      </c>
    </row>
    <row r="69" spans="1:7" x14ac:dyDescent="0.25">
      <c r="A69" s="67">
        <v>67</v>
      </c>
      <c r="B69" s="68">
        <v>3.1789999999999999E-2</v>
      </c>
      <c r="C69" s="68">
        <v>1.813E-2</v>
      </c>
      <c r="D69" s="69">
        <v>17.84</v>
      </c>
      <c r="E69" s="69">
        <v>12.59</v>
      </c>
      <c r="F69" s="69">
        <v>22.66</v>
      </c>
      <c r="G69" s="69">
        <v>15.65</v>
      </c>
    </row>
    <row r="70" spans="1:7" x14ac:dyDescent="0.25">
      <c r="A70" s="67">
        <v>68</v>
      </c>
      <c r="B70" s="68">
        <v>3.465E-2</v>
      </c>
      <c r="C70" s="68">
        <v>1.959E-2</v>
      </c>
      <c r="D70" s="69">
        <v>19.7</v>
      </c>
      <c r="E70" s="69">
        <v>13.81</v>
      </c>
      <c r="F70" s="69">
        <v>24.82</v>
      </c>
      <c r="G70" s="69">
        <v>17.23</v>
      </c>
    </row>
    <row r="71" spans="1:7" x14ac:dyDescent="0.25">
      <c r="A71" s="67">
        <v>69</v>
      </c>
      <c r="B71" s="68">
        <v>3.7810000000000003E-2</v>
      </c>
      <c r="C71" s="68">
        <v>2.1229999999999999E-2</v>
      </c>
      <c r="D71" s="69">
        <v>21.69</v>
      </c>
      <c r="E71" s="69">
        <v>15.09</v>
      </c>
      <c r="F71" s="69">
        <v>27.16</v>
      </c>
      <c r="G71" s="69">
        <v>18.899999999999999</v>
      </c>
    </row>
    <row r="72" spans="1:7" x14ac:dyDescent="0.25">
      <c r="A72" s="67">
        <v>70</v>
      </c>
      <c r="B72" s="68">
        <v>4.1369999999999997E-2</v>
      </c>
      <c r="C72" s="68">
        <v>2.316E-2</v>
      </c>
      <c r="D72" s="69">
        <v>23.8</v>
      </c>
      <c r="E72" s="69">
        <v>16.47</v>
      </c>
      <c r="F72" s="69">
        <v>29.54</v>
      </c>
      <c r="G72" s="69">
        <v>21.01</v>
      </c>
    </row>
    <row r="73" spans="1:7" x14ac:dyDescent="0.25">
      <c r="A73" s="67">
        <v>71</v>
      </c>
      <c r="B73" s="68">
        <v>4.5429999999999998E-2</v>
      </c>
      <c r="C73" s="68">
        <v>2.5530000000000001E-2</v>
      </c>
      <c r="D73" s="69">
        <v>25.44</v>
      </c>
      <c r="E73" s="69">
        <v>17.77</v>
      </c>
      <c r="F73" s="69">
        <v>32.19</v>
      </c>
      <c r="G73" s="69">
        <v>23.29</v>
      </c>
    </row>
    <row r="74" spans="1:7" x14ac:dyDescent="0.25">
      <c r="A74" s="67">
        <v>72</v>
      </c>
      <c r="B74" s="68">
        <v>5.008E-2</v>
      </c>
      <c r="C74" s="68">
        <v>2.8469999999999999E-2</v>
      </c>
      <c r="D74" s="69">
        <v>27.2</v>
      </c>
      <c r="E74" s="69">
        <v>19.25</v>
      </c>
      <c r="F74" s="69">
        <v>35.15</v>
      </c>
      <c r="G74" s="69">
        <v>25.78</v>
      </c>
    </row>
    <row r="75" spans="1:7" x14ac:dyDescent="0.25">
      <c r="A75" s="67">
        <v>73</v>
      </c>
      <c r="B75" s="68">
        <v>5.534E-2</v>
      </c>
      <c r="C75" s="68">
        <v>3.1989999999999998E-2</v>
      </c>
      <c r="D75" s="69">
        <v>29.11</v>
      </c>
      <c r="E75" s="69">
        <v>20.89</v>
      </c>
      <c r="F75" s="69">
        <v>38.47</v>
      </c>
      <c r="G75" s="69">
        <v>28.49</v>
      </c>
    </row>
    <row r="76" spans="1:7" x14ac:dyDescent="0.25">
      <c r="A76" s="67">
        <v>74</v>
      </c>
      <c r="B76" s="68">
        <v>6.1100000000000002E-2</v>
      </c>
      <c r="C76" s="68">
        <v>3.6049999999999999E-2</v>
      </c>
      <c r="D76" s="69">
        <v>31.23</v>
      </c>
      <c r="E76" s="69">
        <v>22.8</v>
      </c>
      <c r="F76" s="69">
        <v>42.21</v>
      </c>
      <c r="G76" s="69">
        <v>31.45</v>
      </c>
    </row>
    <row r="77" spans="1:7" x14ac:dyDescent="0.25">
      <c r="A77" s="67">
        <v>75</v>
      </c>
      <c r="B77" s="68">
        <v>6.7250000000000004E-2</v>
      </c>
      <c r="C77" s="68">
        <v>4.0559999999999999E-2</v>
      </c>
      <c r="D77" s="69">
        <v>33.61</v>
      </c>
      <c r="E77" s="69">
        <v>24.99</v>
      </c>
      <c r="F77" s="69">
        <v>46.35</v>
      </c>
      <c r="G77" s="69">
        <v>34.479999999999997</v>
      </c>
    </row>
    <row r="78" spans="1:7" x14ac:dyDescent="0.25">
      <c r="A78" s="67">
        <v>76</v>
      </c>
      <c r="B78" s="68">
        <v>7.3700000000000002E-2</v>
      </c>
      <c r="C78" s="68">
        <v>4.5449999999999997E-2</v>
      </c>
      <c r="D78" s="69">
        <v>36.28</v>
      </c>
      <c r="E78" s="69">
        <v>27.48</v>
      </c>
      <c r="F78" s="69">
        <v>51.17</v>
      </c>
      <c r="G78" s="69">
        <v>37.89</v>
      </c>
    </row>
    <row r="79" spans="1:7" x14ac:dyDescent="0.25">
      <c r="A79" s="67">
        <v>77</v>
      </c>
      <c r="B79" s="68">
        <v>8.0369999999999997E-2</v>
      </c>
      <c r="C79" s="68">
        <v>5.0680000000000003E-2</v>
      </c>
      <c r="D79" s="69">
        <v>39.25</v>
      </c>
      <c r="E79" s="69">
        <v>30.3</v>
      </c>
      <c r="F79" s="69">
        <v>56.86</v>
      </c>
      <c r="G79" s="69">
        <v>41.75</v>
      </c>
    </row>
    <row r="80" spans="1:7" x14ac:dyDescent="0.25">
      <c r="A80" s="67">
        <v>78</v>
      </c>
      <c r="B80" s="68">
        <v>8.7319999999999995E-2</v>
      </c>
      <c r="C80" s="68">
        <v>5.6320000000000002E-2</v>
      </c>
      <c r="D80" s="68"/>
      <c r="E80" s="68"/>
      <c r="F80" s="68"/>
      <c r="G80" s="68"/>
    </row>
    <row r="81" spans="1:7" x14ac:dyDescent="0.25">
      <c r="A81" s="67">
        <v>79</v>
      </c>
      <c r="B81" s="68">
        <v>9.4759999999999997E-2</v>
      </c>
      <c r="C81" s="68">
        <v>6.2570000000000001E-2</v>
      </c>
      <c r="D81" s="68"/>
      <c r="E81" s="68"/>
      <c r="F81" s="68"/>
      <c r="G81" s="68"/>
    </row>
    <row r="82" spans="1:7" x14ac:dyDescent="0.25">
      <c r="A82" s="67">
        <v>80</v>
      </c>
      <c r="B82" s="68">
        <v>0.10294</v>
      </c>
      <c r="C82" s="68">
        <v>6.9669999999999996E-2</v>
      </c>
      <c r="D82" s="68"/>
      <c r="E82" s="68"/>
      <c r="F82" s="68"/>
      <c r="G82" s="68"/>
    </row>
    <row r="83" spans="1:7" x14ac:dyDescent="0.25">
      <c r="A83" s="67">
        <v>81</v>
      </c>
      <c r="B83" s="68">
        <v>0.11209</v>
      </c>
      <c r="C83" s="68">
        <v>7.7829999999999996E-2</v>
      </c>
      <c r="D83" s="68"/>
      <c r="E83" s="68"/>
      <c r="F83" s="68"/>
      <c r="G83" s="68"/>
    </row>
    <row r="84" spans="1:7" x14ac:dyDescent="0.25">
      <c r="A84" s="67">
        <v>82</v>
      </c>
      <c r="B84" s="68">
        <v>0.12241</v>
      </c>
      <c r="C84" s="68">
        <v>8.7249999999999994E-2</v>
      </c>
      <c r="D84" s="68"/>
      <c r="E84" s="68"/>
      <c r="F84" s="68"/>
      <c r="G84" s="68"/>
    </row>
    <row r="85" spans="1:7" x14ac:dyDescent="0.25">
      <c r="A85" s="67">
        <v>83</v>
      </c>
      <c r="B85" s="68">
        <v>0.13383999999999999</v>
      </c>
      <c r="C85" s="68">
        <v>9.7900000000000001E-2</v>
      </c>
      <c r="D85" s="68"/>
      <c r="E85" s="68"/>
      <c r="F85" s="68"/>
      <c r="G85" s="68"/>
    </row>
    <row r="86" spans="1:7" x14ac:dyDescent="0.25">
      <c r="A86" s="67">
        <v>84</v>
      </c>
      <c r="B86" s="68">
        <v>0.14612</v>
      </c>
      <c r="C86" s="68">
        <v>0.10962</v>
      </c>
      <c r="D86" s="68"/>
      <c r="E86" s="68"/>
      <c r="F86" s="68"/>
      <c r="G86" s="68"/>
    </row>
    <row r="87" spans="1:7" x14ac:dyDescent="0.25">
      <c r="A87" s="67">
        <v>85</v>
      </c>
      <c r="B87" s="68">
        <v>0.15898000000000001</v>
      </c>
      <c r="C87" s="68">
        <v>0.12229</v>
      </c>
      <c r="D87" s="68"/>
      <c r="E87" s="68"/>
      <c r="F87" s="68"/>
      <c r="G87" s="68"/>
    </row>
    <row r="88" spans="1:7" x14ac:dyDescent="0.25">
      <c r="A88" s="67">
        <v>86</v>
      </c>
      <c r="B88" s="68">
        <v>0.17221</v>
      </c>
      <c r="C88" s="68">
        <v>0.13582</v>
      </c>
      <c r="D88" s="68"/>
      <c r="E88" s="68"/>
      <c r="F88" s="68"/>
      <c r="G88" s="68"/>
    </row>
    <row r="89" spans="1:7" x14ac:dyDescent="0.25">
      <c r="A89" s="67">
        <v>87</v>
      </c>
      <c r="B89" s="68">
        <v>0.18573000000000001</v>
      </c>
      <c r="C89" s="68">
        <v>0.15018000000000001</v>
      </c>
      <c r="D89" s="68"/>
      <c r="E89" s="68"/>
      <c r="F89" s="68"/>
      <c r="G89" s="68"/>
    </row>
    <row r="90" spans="1:7" x14ac:dyDescent="0.25">
      <c r="A90" s="67">
        <v>88</v>
      </c>
      <c r="B90" s="68">
        <v>0.19953000000000001</v>
      </c>
      <c r="C90" s="68">
        <v>0.16538</v>
      </c>
      <c r="D90" s="68"/>
      <c r="E90" s="68"/>
      <c r="F90" s="68"/>
      <c r="G90" s="68"/>
    </row>
    <row r="91" spans="1:7" x14ac:dyDescent="0.25">
      <c r="A91" s="67">
        <v>89</v>
      </c>
      <c r="B91" s="68">
        <v>0.21368999999999999</v>
      </c>
      <c r="C91" s="68">
        <v>0.18154000000000001</v>
      </c>
      <c r="D91" s="68"/>
      <c r="E91" s="68"/>
      <c r="F91" s="68"/>
      <c r="G91" s="68"/>
    </row>
    <row r="92" spans="1:7" x14ac:dyDescent="0.25">
      <c r="A92" s="67">
        <v>90</v>
      </c>
      <c r="B92" s="68">
        <v>0.22842999999999999</v>
      </c>
      <c r="C92" s="68">
        <v>0.19885</v>
      </c>
      <c r="D92" s="68"/>
      <c r="E92" s="68"/>
      <c r="F92" s="68"/>
      <c r="G92" s="68"/>
    </row>
    <row r="93" spans="1:7" x14ac:dyDescent="0.25">
      <c r="A93" s="67">
        <v>91</v>
      </c>
      <c r="B93" s="68">
        <v>0.24410999999999999</v>
      </c>
      <c r="C93" s="68">
        <v>0.21768000000000001</v>
      </c>
      <c r="D93" s="68"/>
      <c r="E93" s="68"/>
      <c r="F93" s="68"/>
      <c r="G93" s="68"/>
    </row>
    <row r="94" spans="1:7" x14ac:dyDescent="0.25">
      <c r="A94" s="67">
        <v>92</v>
      </c>
      <c r="B94" s="68">
        <v>0.26143</v>
      </c>
      <c r="C94" s="68">
        <v>0.23869000000000001</v>
      </c>
      <c r="D94" s="68"/>
      <c r="E94" s="68"/>
      <c r="F94" s="68"/>
      <c r="G94" s="68"/>
    </row>
    <row r="95" spans="1:7" x14ac:dyDescent="0.25">
      <c r="A95" s="67">
        <v>93</v>
      </c>
      <c r="B95" s="68">
        <v>0.28212999999999999</v>
      </c>
      <c r="C95" s="68">
        <v>0.26340999999999998</v>
      </c>
      <c r="D95" s="68"/>
      <c r="E95" s="68"/>
      <c r="F95" s="68"/>
      <c r="G95" s="68"/>
    </row>
    <row r="96" spans="1:7" x14ac:dyDescent="0.25">
      <c r="A96" s="67">
        <v>94</v>
      </c>
      <c r="B96" s="68">
        <v>0.30997000000000002</v>
      </c>
      <c r="C96" s="68">
        <v>0.29522999999999999</v>
      </c>
      <c r="D96" s="68"/>
      <c r="E96" s="68"/>
      <c r="F96" s="68"/>
      <c r="G96" s="68"/>
    </row>
    <row r="97" spans="1:7" x14ac:dyDescent="0.25">
      <c r="A97" s="67">
        <v>95</v>
      </c>
      <c r="B97" s="68">
        <v>0.35186000000000001</v>
      </c>
      <c r="C97" s="68">
        <v>0.34101999999999999</v>
      </c>
      <c r="D97" s="68"/>
      <c r="E97" s="68"/>
      <c r="F97" s="68"/>
      <c r="G97" s="68"/>
    </row>
    <row r="98" spans="1:7" x14ac:dyDescent="0.25">
      <c r="A98" s="67">
        <v>96</v>
      </c>
      <c r="B98" s="68">
        <v>0.42098999999999998</v>
      </c>
      <c r="C98" s="68">
        <v>0.41388000000000003</v>
      </c>
      <c r="D98" s="68"/>
      <c r="E98" s="68"/>
      <c r="F98" s="68"/>
      <c r="G98" s="68"/>
    </row>
    <row r="99" spans="1:7" x14ac:dyDescent="0.25">
      <c r="A99" s="67">
        <v>97</v>
      </c>
      <c r="B99" s="68">
        <v>0.54100000000000004</v>
      </c>
      <c r="C99" s="68">
        <v>0.53724000000000005</v>
      </c>
      <c r="D99" s="68"/>
      <c r="E99" s="68"/>
      <c r="F99" s="68"/>
      <c r="G99" s="68"/>
    </row>
    <row r="100" spans="1:7" x14ac:dyDescent="0.25">
      <c r="A100" s="67">
        <v>98</v>
      </c>
      <c r="B100" s="68">
        <v>0.74514999999999998</v>
      </c>
      <c r="C100" s="68">
        <v>0.74395999999999995</v>
      </c>
      <c r="D100" s="68"/>
      <c r="E100" s="68"/>
      <c r="F100" s="68"/>
      <c r="G100" s="68"/>
    </row>
    <row r="101" spans="1:7" x14ac:dyDescent="0.25">
      <c r="A101" s="67">
        <v>99</v>
      </c>
      <c r="B101" s="68">
        <v>1</v>
      </c>
      <c r="C101" s="68">
        <v>1</v>
      </c>
      <c r="D101" s="68"/>
      <c r="E101" s="68"/>
      <c r="F101" s="68"/>
      <c r="G101" s="68"/>
    </row>
    <row r="102" spans="1:7" x14ac:dyDescent="0.25">
      <c r="A102" s="67">
        <v>100</v>
      </c>
      <c r="B102" s="68">
        <v>1</v>
      </c>
      <c r="C102" s="68">
        <v>1</v>
      </c>
      <c r="D102" s="68"/>
      <c r="E102" s="68"/>
      <c r="F102" s="68"/>
      <c r="G102" s="68"/>
    </row>
    <row r="103" spans="1:7" x14ac:dyDescent="0.25">
      <c r="A103" s="67">
        <v>101</v>
      </c>
      <c r="B103" s="68">
        <v>1</v>
      </c>
      <c r="C103" s="68">
        <v>1</v>
      </c>
      <c r="D103" s="68"/>
      <c r="E103" s="68"/>
      <c r="F103" s="68"/>
      <c r="G103" s="68"/>
    </row>
    <row r="104" spans="1:7" x14ac:dyDescent="0.25">
      <c r="A104" s="67">
        <v>102</v>
      </c>
      <c r="B104" s="68">
        <v>1</v>
      </c>
      <c r="C104" s="68">
        <v>1</v>
      </c>
      <c r="D104" s="68"/>
      <c r="E104" s="68"/>
      <c r="F104" s="68"/>
      <c r="G104" s="68"/>
    </row>
    <row r="105" spans="1:7" x14ac:dyDescent="0.25">
      <c r="A105" s="67">
        <v>103</v>
      </c>
      <c r="B105" s="68">
        <v>1</v>
      </c>
      <c r="C105" s="68">
        <v>1</v>
      </c>
      <c r="D105" s="68"/>
      <c r="E105" s="68"/>
      <c r="F105" s="68"/>
      <c r="G105" s="68"/>
    </row>
    <row r="106" spans="1:7" x14ac:dyDescent="0.25">
      <c r="A106" s="67">
        <v>104</v>
      </c>
      <c r="B106" s="68">
        <v>1</v>
      </c>
      <c r="C106" s="68">
        <v>1</v>
      </c>
      <c r="D106" s="68"/>
      <c r="E106" s="68"/>
      <c r="F106" s="68"/>
      <c r="G106" s="68"/>
    </row>
    <row r="107" spans="1:7" x14ac:dyDescent="0.25">
      <c r="A107" s="67">
        <v>105</v>
      </c>
      <c r="B107" s="68">
        <v>1</v>
      </c>
      <c r="C107" s="68">
        <v>1</v>
      </c>
      <c r="D107" s="68"/>
      <c r="E107" s="68"/>
      <c r="F107" s="68"/>
      <c r="G107" s="68"/>
    </row>
    <row r="108" spans="1:7" x14ac:dyDescent="0.25">
      <c r="A108" s="67">
        <v>106</v>
      </c>
      <c r="B108" s="68">
        <v>1</v>
      </c>
      <c r="C108" s="68">
        <v>1</v>
      </c>
      <c r="D108" s="68"/>
      <c r="E108" s="68"/>
      <c r="F108" s="68"/>
      <c r="G108" s="68"/>
    </row>
    <row r="109" spans="1:7" x14ac:dyDescent="0.25">
      <c r="A109" s="67">
        <v>107</v>
      </c>
      <c r="B109" s="68">
        <v>1</v>
      </c>
      <c r="C109" s="68">
        <v>1</v>
      </c>
      <c r="D109" s="68"/>
      <c r="E109" s="68"/>
      <c r="F109" s="68"/>
      <c r="G109" s="68"/>
    </row>
    <row r="110" spans="1:7" x14ac:dyDescent="0.25">
      <c r="A110" s="67">
        <v>108</v>
      </c>
      <c r="B110" s="68">
        <v>1</v>
      </c>
      <c r="C110" s="68">
        <v>1</v>
      </c>
      <c r="D110" s="68"/>
      <c r="E110" s="68"/>
      <c r="F110" s="68"/>
      <c r="G110" s="68"/>
    </row>
    <row r="111" spans="1:7" x14ac:dyDescent="0.25">
      <c r="A111" s="67">
        <v>109</v>
      </c>
      <c r="B111" s="68">
        <v>1</v>
      </c>
      <c r="C111" s="68">
        <v>1</v>
      </c>
      <c r="D111" s="68"/>
      <c r="E111" s="68"/>
      <c r="F111" s="68"/>
      <c r="G111" s="68"/>
    </row>
    <row r="112" spans="1:7" x14ac:dyDescent="0.25">
      <c r="A112" s="67">
        <v>110</v>
      </c>
      <c r="B112" s="68">
        <v>1</v>
      </c>
      <c r="C112" s="68">
        <v>1</v>
      </c>
      <c r="D112" s="68"/>
      <c r="E112" s="68"/>
      <c r="F112" s="68"/>
      <c r="G112" s="68"/>
    </row>
    <row r="113" spans="1:7" x14ac:dyDescent="0.25">
      <c r="A113" s="67">
        <v>111</v>
      </c>
      <c r="B113" s="68">
        <v>1</v>
      </c>
      <c r="C113" s="68">
        <v>1</v>
      </c>
      <c r="D113" s="68"/>
      <c r="E113" s="68"/>
      <c r="F113" s="68"/>
      <c r="G113" s="68"/>
    </row>
    <row r="114" spans="1:7" x14ac:dyDescent="0.25">
      <c r="A114" s="67">
        <v>112</v>
      </c>
      <c r="B114" s="68">
        <v>1</v>
      </c>
      <c r="C114" s="68">
        <v>1</v>
      </c>
      <c r="D114" s="68"/>
      <c r="E114" s="68"/>
      <c r="F114" s="68"/>
      <c r="G114" s="68"/>
    </row>
    <row r="115" spans="1:7" x14ac:dyDescent="0.25">
      <c r="A115" s="67">
        <v>113</v>
      </c>
      <c r="B115" s="68">
        <v>1</v>
      </c>
      <c r="C115" s="68">
        <v>1</v>
      </c>
      <c r="D115" s="68"/>
      <c r="E115" s="68"/>
      <c r="F115" s="68"/>
      <c r="G115" s="68"/>
    </row>
    <row r="116" spans="1:7" x14ac:dyDescent="0.25">
      <c r="A116" s="67">
        <v>114</v>
      </c>
      <c r="B116" s="68">
        <v>1</v>
      </c>
      <c r="C116" s="68">
        <v>1</v>
      </c>
      <c r="D116" s="68"/>
      <c r="E116" s="68"/>
      <c r="F116" s="68"/>
      <c r="G116" s="68"/>
    </row>
    <row r="117" spans="1:7" x14ac:dyDescent="0.25">
      <c r="A117" s="67">
        <v>115</v>
      </c>
      <c r="B117" s="68">
        <v>1</v>
      </c>
      <c r="C117" s="68">
        <v>1</v>
      </c>
      <c r="D117" s="68"/>
      <c r="E117" s="68"/>
      <c r="F117" s="68"/>
      <c r="G117" s="68"/>
    </row>
    <row r="118" spans="1:7" x14ac:dyDescent="0.25">
      <c r="A118" s="67">
        <v>116</v>
      </c>
      <c r="B118" s="68">
        <v>1</v>
      </c>
      <c r="C118" s="68">
        <v>1</v>
      </c>
      <c r="D118" s="68"/>
      <c r="E118" s="68"/>
      <c r="F118" s="68"/>
      <c r="G118" s="68"/>
    </row>
    <row r="119" spans="1:7" x14ac:dyDescent="0.25">
      <c r="A119" s="67">
        <v>117</v>
      </c>
      <c r="B119" s="68">
        <v>1</v>
      </c>
      <c r="C119" s="68">
        <v>1</v>
      </c>
      <c r="D119" s="68"/>
      <c r="E119" s="68"/>
      <c r="F119" s="68"/>
      <c r="G119" s="68"/>
    </row>
    <row r="120" spans="1:7" x14ac:dyDescent="0.25">
      <c r="A120" s="67">
        <v>118</v>
      </c>
      <c r="B120" s="68">
        <v>1</v>
      </c>
      <c r="C120" s="68">
        <v>1</v>
      </c>
      <c r="D120" s="68"/>
      <c r="E120" s="68"/>
      <c r="F120" s="68"/>
      <c r="G120" s="68"/>
    </row>
    <row r="121" spans="1:7" x14ac:dyDescent="0.25">
      <c r="A121" s="67">
        <v>119</v>
      </c>
      <c r="B121" s="68">
        <v>1</v>
      </c>
      <c r="C121" s="68">
        <v>1</v>
      </c>
      <c r="D121" s="68"/>
      <c r="E121" s="68"/>
      <c r="F121" s="68"/>
      <c r="G121" s="68"/>
    </row>
    <row r="122" spans="1:7" x14ac:dyDescent="0.25">
      <c r="A122" s="67">
        <v>120</v>
      </c>
      <c r="B122" s="68">
        <v>1</v>
      </c>
      <c r="C122" s="68">
        <v>1</v>
      </c>
      <c r="D122" s="68"/>
      <c r="E122" s="68"/>
      <c r="F122" s="68"/>
      <c r="G122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CDF3-F41B-40AA-BE39-1E1262889962}">
  <dimension ref="A1:C21"/>
  <sheetViews>
    <sheetView tabSelected="1" workbookViewId="0">
      <selection activeCell="B2" sqref="B2:C21"/>
    </sheetView>
  </sheetViews>
  <sheetFormatPr defaultRowHeight="15" x14ac:dyDescent="0.25"/>
  <cols>
    <col min="1" max="1" width="4.85546875" bestFit="1" customWidth="1"/>
    <col min="2" max="3" width="11.28515625" bestFit="1" customWidth="1"/>
  </cols>
  <sheetData>
    <row r="1" spans="1:3" x14ac:dyDescent="0.25">
      <c r="A1" t="s">
        <v>45</v>
      </c>
      <c r="B1" t="s">
        <v>48</v>
      </c>
      <c r="C1" t="s">
        <v>49</v>
      </c>
    </row>
    <row r="2" spans="1:3" x14ac:dyDescent="0.25">
      <c r="A2">
        <v>1</v>
      </c>
      <c r="B2" s="73">
        <v>300</v>
      </c>
      <c r="C2" s="73">
        <v>200</v>
      </c>
    </row>
    <row r="3" spans="1:3" x14ac:dyDescent="0.25">
      <c r="A3">
        <v>2</v>
      </c>
      <c r="B3" s="73">
        <v>0</v>
      </c>
      <c r="C3" s="73">
        <v>0</v>
      </c>
    </row>
    <row r="4" spans="1:3" x14ac:dyDescent="0.25">
      <c r="A4">
        <v>3</v>
      </c>
      <c r="B4" s="73">
        <v>0</v>
      </c>
      <c r="C4" s="73">
        <v>0</v>
      </c>
    </row>
    <row r="5" spans="1:3" x14ac:dyDescent="0.25">
      <c r="A5">
        <v>4</v>
      </c>
      <c r="B5" s="73">
        <v>0</v>
      </c>
      <c r="C5" s="73">
        <v>0</v>
      </c>
    </row>
    <row r="6" spans="1:3" x14ac:dyDescent="0.25">
      <c r="A6">
        <v>5</v>
      </c>
      <c r="B6" s="73">
        <v>0</v>
      </c>
      <c r="C6" s="73">
        <v>0</v>
      </c>
    </row>
    <row r="7" spans="1:3" x14ac:dyDescent="0.25">
      <c r="A7">
        <v>6</v>
      </c>
      <c r="B7" s="73">
        <v>0</v>
      </c>
      <c r="C7" s="73">
        <v>0</v>
      </c>
    </row>
    <row r="8" spans="1:3" x14ac:dyDescent="0.25">
      <c r="A8">
        <v>7</v>
      </c>
      <c r="B8" s="73">
        <v>0</v>
      </c>
      <c r="C8" s="73">
        <v>0</v>
      </c>
    </row>
    <row r="9" spans="1:3" x14ac:dyDescent="0.25">
      <c r="A9">
        <v>8</v>
      </c>
      <c r="B9" s="73">
        <v>0</v>
      </c>
      <c r="C9" s="73">
        <v>0</v>
      </c>
    </row>
    <row r="10" spans="1:3" x14ac:dyDescent="0.25">
      <c r="A10">
        <v>9</v>
      </c>
      <c r="B10" s="73">
        <v>0</v>
      </c>
      <c r="C10" s="73">
        <v>0</v>
      </c>
    </row>
    <row r="11" spans="1:3" x14ac:dyDescent="0.25">
      <c r="A11">
        <v>10</v>
      </c>
      <c r="B11" s="73">
        <v>0</v>
      </c>
      <c r="C11" s="73">
        <v>0</v>
      </c>
    </row>
    <row r="12" spans="1:3" x14ac:dyDescent="0.25">
      <c r="A12">
        <v>11</v>
      </c>
      <c r="B12" s="73">
        <v>0</v>
      </c>
      <c r="C12" s="73">
        <v>0</v>
      </c>
    </row>
    <row r="13" spans="1:3" x14ac:dyDescent="0.25">
      <c r="A13">
        <v>12</v>
      </c>
      <c r="B13" s="73">
        <v>0</v>
      </c>
      <c r="C13" s="73">
        <v>0</v>
      </c>
    </row>
    <row r="14" spans="1:3" x14ac:dyDescent="0.25">
      <c r="A14">
        <v>13</v>
      </c>
      <c r="B14" s="73">
        <v>0</v>
      </c>
      <c r="C14" s="73">
        <v>0</v>
      </c>
    </row>
    <row r="15" spans="1:3" x14ac:dyDescent="0.25">
      <c r="A15">
        <v>14</v>
      </c>
      <c r="B15" s="73">
        <v>0</v>
      </c>
      <c r="C15" s="73">
        <v>0</v>
      </c>
    </row>
    <row r="16" spans="1:3" x14ac:dyDescent="0.25">
      <c r="A16">
        <v>15</v>
      </c>
      <c r="B16" s="73">
        <v>0</v>
      </c>
      <c r="C16" s="73">
        <v>0</v>
      </c>
    </row>
    <row r="17" spans="1:3" x14ac:dyDescent="0.25">
      <c r="A17">
        <v>16</v>
      </c>
      <c r="B17" s="73">
        <v>0</v>
      </c>
      <c r="C17" s="73">
        <v>0</v>
      </c>
    </row>
    <row r="18" spans="1:3" x14ac:dyDescent="0.25">
      <c r="A18">
        <v>17</v>
      </c>
      <c r="B18" s="73">
        <v>0</v>
      </c>
      <c r="C18" s="73">
        <v>0</v>
      </c>
    </row>
    <row r="19" spans="1:3" x14ac:dyDescent="0.25">
      <c r="A19">
        <v>18</v>
      </c>
      <c r="B19" s="73">
        <v>0</v>
      </c>
      <c r="C19" s="73">
        <v>0</v>
      </c>
    </row>
    <row r="20" spans="1:3" x14ac:dyDescent="0.25">
      <c r="A20">
        <v>19</v>
      </c>
      <c r="B20" s="73">
        <v>0</v>
      </c>
      <c r="C20" s="73">
        <v>0</v>
      </c>
    </row>
    <row r="21" spans="1:3" x14ac:dyDescent="0.25">
      <c r="A21">
        <v>20</v>
      </c>
      <c r="B21" s="73">
        <v>0</v>
      </c>
      <c r="C21" s="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25F7-9D4D-4326-ACA0-4B8B79D6DAA8}">
  <dimension ref="A1:C21"/>
  <sheetViews>
    <sheetView tabSelected="1" workbookViewId="0">
      <selection activeCell="B2" sqref="B2:C21"/>
    </sheetView>
  </sheetViews>
  <sheetFormatPr defaultRowHeight="15" x14ac:dyDescent="0.25"/>
  <cols>
    <col min="1" max="1" width="4.85546875" bestFit="1" customWidth="1"/>
    <col min="2" max="3" width="11.28515625" bestFit="1" customWidth="1"/>
  </cols>
  <sheetData>
    <row r="1" spans="1:3" x14ac:dyDescent="0.25">
      <c r="A1" t="s">
        <v>45</v>
      </c>
      <c r="B1" t="s">
        <v>50</v>
      </c>
      <c r="C1" t="s">
        <v>51</v>
      </c>
    </row>
    <row r="2" spans="1:3" x14ac:dyDescent="0.25">
      <c r="A2">
        <v>1</v>
      </c>
      <c r="B2" s="73">
        <v>60</v>
      </c>
      <c r="C2" s="73">
        <v>40</v>
      </c>
    </row>
    <row r="3" spans="1:3" x14ac:dyDescent="0.25">
      <c r="A3">
        <v>2</v>
      </c>
      <c r="B3" s="73">
        <v>60</v>
      </c>
      <c r="C3" s="73">
        <v>40</v>
      </c>
    </row>
    <row r="4" spans="1:3" x14ac:dyDescent="0.25">
      <c r="A4">
        <v>3</v>
      </c>
      <c r="B4" s="73">
        <v>60</v>
      </c>
      <c r="C4" s="73">
        <v>40</v>
      </c>
    </row>
    <row r="5" spans="1:3" x14ac:dyDescent="0.25">
      <c r="A5">
        <v>4</v>
      </c>
      <c r="B5" s="73">
        <v>60</v>
      </c>
      <c r="C5" s="73">
        <v>40</v>
      </c>
    </row>
    <row r="6" spans="1:3" x14ac:dyDescent="0.25">
      <c r="A6">
        <v>5</v>
      </c>
      <c r="B6" s="73">
        <v>60</v>
      </c>
      <c r="C6" s="73">
        <v>40</v>
      </c>
    </row>
    <row r="7" spans="1:3" x14ac:dyDescent="0.25">
      <c r="A7">
        <v>6</v>
      </c>
      <c r="B7" s="73">
        <v>60</v>
      </c>
      <c r="C7" s="73">
        <v>40</v>
      </c>
    </row>
    <row r="8" spans="1:3" x14ac:dyDescent="0.25">
      <c r="A8">
        <v>7</v>
      </c>
      <c r="B8" s="73">
        <v>60</v>
      </c>
      <c r="C8" s="73">
        <v>40</v>
      </c>
    </row>
    <row r="9" spans="1:3" x14ac:dyDescent="0.25">
      <c r="A9">
        <v>8</v>
      </c>
      <c r="B9" s="73">
        <v>60</v>
      </c>
      <c r="C9" s="73">
        <v>40</v>
      </c>
    </row>
    <row r="10" spans="1:3" x14ac:dyDescent="0.25">
      <c r="A10">
        <v>9</v>
      </c>
      <c r="B10" s="73">
        <v>60</v>
      </c>
      <c r="C10" s="73">
        <v>40</v>
      </c>
    </row>
    <row r="11" spans="1:3" x14ac:dyDescent="0.25">
      <c r="A11">
        <v>10</v>
      </c>
      <c r="B11" s="73">
        <v>60</v>
      </c>
      <c r="C11" s="73">
        <v>40</v>
      </c>
    </row>
    <row r="12" spans="1:3" x14ac:dyDescent="0.25">
      <c r="A12">
        <v>11</v>
      </c>
      <c r="B12" s="73">
        <v>60</v>
      </c>
      <c r="C12" s="73">
        <v>40</v>
      </c>
    </row>
    <row r="13" spans="1:3" x14ac:dyDescent="0.25">
      <c r="A13">
        <v>12</v>
      </c>
      <c r="B13" s="73">
        <v>60</v>
      </c>
      <c r="C13" s="73">
        <v>40</v>
      </c>
    </row>
    <row r="14" spans="1:3" x14ac:dyDescent="0.25">
      <c r="A14">
        <v>13</v>
      </c>
      <c r="B14" s="73">
        <v>60</v>
      </c>
      <c r="C14" s="73">
        <v>40</v>
      </c>
    </row>
    <row r="15" spans="1:3" x14ac:dyDescent="0.25">
      <c r="A15">
        <v>14</v>
      </c>
      <c r="B15" s="73">
        <v>60</v>
      </c>
      <c r="C15" s="73">
        <v>40</v>
      </c>
    </row>
    <row r="16" spans="1:3" x14ac:dyDescent="0.25">
      <c r="A16">
        <v>15</v>
      </c>
      <c r="B16" s="73">
        <v>60</v>
      </c>
      <c r="C16" s="73">
        <v>40</v>
      </c>
    </row>
    <row r="17" spans="1:3" x14ac:dyDescent="0.25">
      <c r="A17">
        <v>16</v>
      </c>
      <c r="B17" s="73">
        <v>60</v>
      </c>
      <c r="C17" s="73">
        <v>40</v>
      </c>
    </row>
    <row r="18" spans="1:3" x14ac:dyDescent="0.25">
      <c r="A18">
        <v>17</v>
      </c>
      <c r="B18" s="73">
        <v>60</v>
      </c>
      <c r="C18" s="73">
        <v>40</v>
      </c>
    </row>
    <row r="19" spans="1:3" x14ac:dyDescent="0.25">
      <c r="A19">
        <v>18</v>
      </c>
      <c r="B19" s="73">
        <v>60</v>
      </c>
      <c r="C19" s="73">
        <v>40</v>
      </c>
    </row>
    <row r="20" spans="1:3" x14ac:dyDescent="0.25">
      <c r="A20">
        <v>19</v>
      </c>
      <c r="B20" s="73">
        <v>60</v>
      </c>
      <c r="C20" s="73">
        <v>40</v>
      </c>
    </row>
    <row r="21" spans="1:3" x14ac:dyDescent="0.25">
      <c r="A21">
        <v>20</v>
      </c>
      <c r="B21" s="73">
        <v>60</v>
      </c>
      <c r="C21" s="73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1827-D12B-44D1-93E9-57740F5E9686}">
  <dimension ref="A1:C21"/>
  <sheetViews>
    <sheetView workbookViewId="0">
      <selection activeCell="F8" sqref="F8"/>
    </sheetView>
  </sheetViews>
  <sheetFormatPr defaultRowHeight="15" x14ac:dyDescent="0.25"/>
  <sheetData>
    <row r="1" spans="1:3" x14ac:dyDescent="0.25">
      <c r="A1" t="s">
        <v>45</v>
      </c>
      <c r="B1" t="s">
        <v>46</v>
      </c>
      <c r="C1" t="s">
        <v>47</v>
      </c>
    </row>
    <row r="2" spans="1:3" x14ac:dyDescent="0.25">
      <c r="A2">
        <v>1</v>
      </c>
      <c r="B2" s="66">
        <v>0.4</v>
      </c>
      <c r="C2" s="66">
        <v>0.15</v>
      </c>
    </row>
    <row r="3" spans="1:3" x14ac:dyDescent="0.25">
      <c r="A3">
        <v>2</v>
      </c>
      <c r="B3" s="66">
        <f>B2-5%</f>
        <v>0.35000000000000003</v>
      </c>
      <c r="C3" s="66">
        <v>0.12</v>
      </c>
    </row>
    <row r="4" spans="1:3" x14ac:dyDescent="0.25">
      <c r="A4">
        <v>3</v>
      </c>
      <c r="B4" s="66">
        <f t="shared" ref="B4:B9" si="0">B3-5%</f>
        <v>0.30000000000000004</v>
      </c>
      <c r="C4" s="66">
        <v>0.1</v>
      </c>
    </row>
    <row r="5" spans="1:3" x14ac:dyDescent="0.25">
      <c r="A5">
        <v>4</v>
      </c>
      <c r="B5" s="66">
        <f t="shared" si="0"/>
        <v>0.25000000000000006</v>
      </c>
      <c r="C5" s="66">
        <v>0.08</v>
      </c>
    </row>
    <row r="6" spans="1:3" x14ac:dyDescent="0.25">
      <c r="A6">
        <v>5</v>
      </c>
      <c r="B6" s="66">
        <f t="shared" si="0"/>
        <v>0.20000000000000007</v>
      </c>
      <c r="C6" s="66">
        <v>0.06</v>
      </c>
    </row>
    <row r="7" spans="1:3" x14ac:dyDescent="0.25">
      <c r="A7">
        <v>6</v>
      </c>
      <c r="B7" s="66">
        <f t="shared" si="0"/>
        <v>0.15000000000000008</v>
      </c>
      <c r="C7" s="66">
        <v>0.06</v>
      </c>
    </row>
    <row r="8" spans="1:3" x14ac:dyDescent="0.25">
      <c r="A8">
        <v>7</v>
      </c>
      <c r="B8" s="66">
        <f t="shared" si="0"/>
        <v>0.10000000000000007</v>
      </c>
      <c r="C8" s="66">
        <v>0.06</v>
      </c>
    </row>
    <row r="9" spans="1:3" x14ac:dyDescent="0.25">
      <c r="A9">
        <v>8</v>
      </c>
      <c r="B9" s="66">
        <f t="shared" si="0"/>
        <v>5.0000000000000072E-2</v>
      </c>
      <c r="C9" s="66">
        <v>0.04</v>
      </c>
    </row>
    <row r="10" spans="1:3" x14ac:dyDescent="0.25">
      <c r="A10">
        <v>9</v>
      </c>
      <c r="B10" s="66">
        <v>0.02</v>
      </c>
      <c r="C10" s="66">
        <v>0.04</v>
      </c>
    </row>
    <row r="11" spans="1:3" x14ac:dyDescent="0.25">
      <c r="A11">
        <v>10</v>
      </c>
      <c r="B11" s="66">
        <v>0.02</v>
      </c>
      <c r="C11" s="66">
        <v>0.04</v>
      </c>
    </row>
    <row r="12" spans="1:3" x14ac:dyDescent="0.25">
      <c r="A12">
        <v>11</v>
      </c>
      <c r="B12" s="66">
        <v>0.02</v>
      </c>
      <c r="C12" s="66">
        <v>0.02</v>
      </c>
    </row>
    <row r="13" spans="1:3" x14ac:dyDescent="0.25">
      <c r="A13">
        <v>12</v>
      </c>
      <c r="B13" s="66">
        <v>0.02</v>
      </c>
      <c r="C13" s="66">
        <v>0.02</v>
      </c>
    </row>
    <row r="14" spans="1:3" x14ac:dyDescent="0.25">
      <c r="A14">
        <v>13</v>
      </c>
      <c r="B14" s="66">
        <v>0.02</v>
      </c>
      <c r="C14" s="66">
        <v>0.02</v>
      </c>
    </row>
    <row r="15" spans="1:3" x14ac:dyDescent="0.25">
      <c r="A15">
        <v>14</v>
      </c>
      <c r="B15" s="66">
        <v>0.02</v>
      </c>
      <c r="C15" s="66">
        <v>0</v>
      </c>
    </row>
    <row r="16" spans="1:3" x14ac:dyDescent="0.25">
      <c r="A16">
        <v>15</v>
      </c>
      <c r="B16" s="66">
        <v>0</v>
      </c>
      <c r="C16" s="66">
        <v>0</v>
      </c>
    </row>
    <row r="17" spans="1:3" x14ac:dyDescent="0.25">
      <c r="A17">
        <v>16</v>
      </c>
      <c r="B17" s="66">
        <v>0</v>
      </c>
      <c r="C17" s="66">
        <v>0</v>
      </c>
    </row>
    <row r="18" spans="1:3" x14ac:dyDescent="0.25">
      <c r="A18">
        <v>17</v>
      </c>
      <c r="B18" s="66">
        <v>0</v>
      </c>
      <c r="C18" s="66">
        <v>0</v>
      </c>
    </row>
    <row r="19" spans="1:3" x14ac:dyDescent="0.25">
      <c r="A19">
        <v>18</v>
      </c>
      <c r="B19" s="66">
        <v>0</v>
      </c>
      <c r="C19" s="66">
        <v>0</v>
      </c>
    </row>
    <row r="20" spans="1:3" x14ac:dyDescent="0.25">
      <c r="A20">
        <v>19</v>
      </c>
      <c r="B20" s="66">
        <v>0</v>
      </c>
      <c r="C20" s="66">
        <v>0</v>
      </c>
    </row>
    <row r="21" spans="1:3" x14ac:dyDescent="0.25">
      <c r="A21">
        <v>20</v>
      </c>
      <c r="B21" s="66">
        <v>0</v>
      </c>
      <c r="C21" s="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Q-Rates</vt:lpstr>
      <vt:lpstr>RI</vt:lpstr>
      <vt:lpstr>mort</vt:lpstr>
      <vt:lpstr>acq_exp</vt:lpstr>
      <vt:lpstr>mtn_exp</vt:lpstr>
      <vt:lpstr>lapse</vt:lpstr>
      <vt:lpstr>Lapse_Input</vt:lpstr>
      <vt:lpstr>Lapse_Table</vt:lpstr>
      <vt:lpstr>Rate_Table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Trung-Hieu Nguyen</dc:creator>
  <cp:lastModifiedBy>Trung-Hieu Nguyen</cp:lastModifiedBy>
  <dcterms:created xsi:type="dcterms:W3CDTF">2015-06-05T18:17:20Z</dcterms:created>
  <dcterms:modified xsi:type="dcterms:W3CDTF">2025-07-01T08:49:57Z</dcterms:modified>
</cp:coreProperties>
</file>